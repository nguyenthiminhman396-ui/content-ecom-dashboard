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Viết" sheetId="1" state="visible" r:id="rId1"/>
    <sheet xmlns:r="http://schemas.openxmlformats.org/officeDocument/2006/relationships" name="SảnPhẩm" sheetId="2" state="visible" r:id="rId2"/>
    <sheet xmlns:r="http://schemas.openxmlformats.org/officeDocument/2006/relationships" name="Multim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2E"/>
      <sz val="8"/>
    </font>
    <font>
      <name val="Arial"/>
      <color rgb="001A1A2E"/>
      <sz val="9"/>
    </font>
    <font>
      <name val="Arial"/>
      <b val="1"/>
      <color rgb="001A1A2E"/>
      <sz val="9"/>
    </font>
    <font>
      <name val="Arial"/>
      <b val="1"/>
      <color rgb="00F0FFF4"/>
      <sz val="13"/>
    </font>
    <font>
      <name val="Arial"/>
      <b val="1"/>
      <color rgb="001A1A2E"/>
      <sz val="10"/>
    </font>
    <font>
      <name val="Arial"/>
      <b val="1"/>
      <color rgb="001A1A2E"/>
      <sz val="11"/>
    </font>
    <font>
      <name val="Arial"/>
      <color rgb="00475569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166534"/>
      </patternFill>
    </fill>
    <fill>
      <patternFill patternType="solid">
        <fgColor rgb="009A341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9" customWidth="1" min="3" max="3"/>
    <col width="18" customWidth="1" min="4" max="4"/>
    <col width="14" customWidth="1" min="5" max="5"/>
    <col width="22" customWidth="1" min="6" max="6"/>
    <col width="13" customWidth="1" min="7" max="7"/>
    <col width="26" customWidth="1" min="8" max="8"/>
  </cols>
  <sheetData>
    <row r="1" ht="25.5" customHeight="1">
      <c r="A1" s="1" t="inlineStr">
        <is>
          <t xml:space="preserve">  Content</t>
        </is>
      </c>
    </row>
    <row r="2" ht="21.75" customHeight="1">
      <c r="A2" s="2" t="inlineStr">
        <is>
          <t xml:space="preserve">  Nhóm Bài viết — Long Châu Content</t>
        </is>
      </c>
    </row>
    <row r="4" ht="21.75" customHeight="1">
      <c r="A4" s="3" t="inlineStr">
        <is>
          <t xml:space="preserve">  PHẦN 1 — KPI FRAMEWORK THEO TẦNG VỊ TRÍ</t>
        </is>
      </c>
    </row>
    <row r="5" ht="21.75" customHeight="1">
      <c r="A5" s="4" t="inlineStr">
        <is>
          <t>Tầng</t>
        </is>
      </c>
      <c r="B5" s="4" t="inlineStr">
        <is>
          <t>KPI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</t>
        </is>
      </c>
      <c r="F5" s="4" t="inlineStr">
        <is>
          <t>Cách đo</t>
        </is>
      </c>
      <c r="G5" s="4" t="inlineStr">
        <is>
          <t>Đơn vị</t>
        </is>
      </c>
      <c r="H5" s="4" t="inlineStr">
        <is>
          <t>Nguồn dữ liệu</t>
        </is>
      </c>
    </row>
    <row r="6" ht="30" customHeight="1">
      <c r="A6" s="5" t="inlineStr">
        <is>
          <t>STAFF
(Làm đúng &amp; chuẩn)</t>
        </is>
      </c>
      <c r="B6" s="6" t="inlineStr">
        <is>
          <t>Tổng điểm KPI thực tế đạt được trong tháng</t>
        </is>
      </c>
      <c r="C6" s="7" t="inlineStr">
        <is>
          <t>50%</t>
        </is>
      </c>
      <c r="D6" s="6" t="inlineStr">
        <is>
          <t>≥ 294 điểm</t>
        </is>
      </c>
      <c r="E6" s="7" t="inlineStr">
        <is>
          <t>Monthly</t>
        </is>
      </c>
      <c r="F6" s="6" t="inlineStr">
        <is>
          <t>Cộng toàn bộ điểm từ các submission đã duyệt</t>
        </is>
      </c>
      <c r="G6" s="7" t="inlineStr">
        <is>
          <t>điểm</t>
        </is>
      </c>
      <c r="H6" s="6" t="inlineStr">
        <is>
          <t>Dashboard KPI sheet</t>
        </is>
      </c>
    </row>
    <row r="7" ht="30" customHeight="1">
      <c r="B7" s="6" t="inlineStr">
        <is>
          <t>Tỷ lệ submission nộp đúng deadline</t>
        </is>
      </c>
      <c r="C7" s="7" t="inlineStr">
        <is>
          <t>30%</t>
        </is>
      </c>
      <c r="D7" s="6" t="inlineStr">
        <is>
          <t>≥ 95%</t>
        </is>
      </c>
      <c r="E7" s="7" t="inlineStr">
        <is>
          <t>Monthly</t>
        </is>
      </c>
      <c r="F7" s="6" t="inlineStr">
        <is>
          <t>Số submission on-time / tổng submission × 100</t>
        </is>
      </c>
      <c r="G7" s="7" t="inlineStr">
        <is>
          <t>% (số)</t>
        </is>
      </c>
      <c r="H7" s="6" t="inlineStr">
        <is>
          <t>Dashboard — submittedAt vs deadline</t>
        </is>
      </c>
    </row>
    <row r="8" ht="30" customHeight="1">
      <c r="B8" s="6" t="inlineStr">
        <is>
          <t>Điểm spot-check trung bình trong tháng</t>
        </is>
      </c>
      <c r="C8" s="7" t="inlineStr">
        <is>
          <t>20%</t>
        </is>
      </c>
      <c r="D8" s="6" t="inlineStr">
        <is>
          <t>≥ 3.0 / 5.0</t>
        </is>
      </c>
      <c r="E8" s="7" t="inlineStr">
        <is>
          <t>Monthly</t>
        </is>
      </c>
      <c r="F8" s="6" t="inlineStr">
        <is>
          <t>Tổng điểm spot-check / số bài được kiểm (20% submissions)</t>
        </is>
      </c>
      <c r="G8" s="7" t="inlineStr">
        <is>
          <t>điểm /5</t>
        </is>
      </c>
      <c r="H8" s="6" t="inlineStr">
        <is>
          <t>Spot-check records</t>
        </is>
      </c>
    </row>
    <row r="9" ht="30" customHeight="1">
      <c r="A9" s="8" t="inlineStr">
        <is>
          <t>SENIOR
(Tối ưu &amp; cải tiến)</t>
        </is>
      </c>
      <c r="B9" s="9" t="inlineStr">
        <is>
          <t>Tổng điểm KPI thực tế / target tháng</t>
        </is>
      </c>
      <c r="C9" s="10" t="inlineStr">
        <is>
          <t>50%</t>
        </is>
      </c>
      <c r="D9" s="9" t="inlineStr">
        <is>
          <t>≥ 110% (≥ 323đ)</t>
        </is>
      </c>
      <c r="E9" s="10" t="inlineStr">
        <is>
          <t>Monthly</t>
        </is>
      </c>
      <c r="F9" s="9" t="inlineStr">
        <is>
          <t>Điểm thực tế / 294 × 100</t>
        </is>
      </c>
      <c r="G9" s="10" t="inlineStr">
        <is>
          <t>% của target</t>
        </is>
      </c>
      <c r="H9" s="9" t="inlineStr">
        <is>
          <t>Dashboard KPI sheet</t>
        </is>
      </c>
    </row>
    <row r="10" ht="30" customHeight="1">
      <c r="B10" s="9" t="inlineStr">
        <is>
          <t>Điểm spot-check trung bình trong tháng</t>
        </is>
      </c>
      <c r="C10" s="10" t="inlineStr">
        <is>
          <t>35%</t>
        </is>
      </c>
      <c r="D10" s="9" t="inlineStr">
        <is>
          <t>≥ 4.0 / 5.0</t>
        </is>
      </c>
      <c r="E10" s="10" t="inlineStr">
        <is>
          <t>Monthly</t>
        </is>
      </c>
      <c r="F10" s="9" t="inlineStr">
        <is>
          <t>Tổng điểm spot-check / số bài được kiểm</t>
        </is>
      </c>
      <c r="G10" s="10" t="inlineStr">
        <is>
          <t>điểm /5</t>
        </is>
      </c>
      <c r="H10" s="9" t="inlineStr">
        <is>
          <t>Spot-check records</t>
        </is>
      </c>
    </row>
    <row r="11" ht="30" customHeight="1">
      <c r="B11" s="9" t="inlineStr">
        <is>
          <t>Số SOP / R&amp;D log được team áp dụng trong quý</t>
        </is>
      </c>
      <c r="C11" s="10" t="inlineStr">
        <is>
          <t>15%</t>
        </is>
      </c>
      <c r="D11" s="9" t="inlineStr">
        <is>
          <t>≥ 1 cái / quý</t>
        </is>
      </c>
      <c r="E11" s="10" t="inlineStr">
        <is>
          <t>Quarterly</t>
        </is>
      </c>
      <c r="F11" s="9" t="inlineStr">
        <is>
          <t>Đếm R&amp;D log có status = completed trong quý</t>
        </is>
      </c>
      <c r="G11" s="10" t="inlineStr">
        <is>
          <t>số lượng (cái)</t>
        </is>
      </c>
      <c r="H11" s="9" t="inlineStr">
        <is>
          <t>R&amp;D Log — Dashboard</t>
        </is>
      </c>
    </row>
    <row r="12" ht="30" customHeight="1">
      <c r="A12" s="11" t="inlineStr">
        <is>
          <t>LEAD / MANAGER
(Outcome &amp; Impact)</t>
        </is>
      </c>
      <c r="B12" s="12" t="inlineStr">
        <is>
          <t>Tỷ lệ thành viên team đạt ≥ 100% target KPI tháng</t>
        </is>
      </c>
      <c r="C12" s="13" t="inlineStr">
        <is>
          <t>55%</t>
        </is>
      </c>
      <c r="D12" s="12" t="inlineStr">
        <is>
          <t>≥ 85% thành viên</t>
        </is>
      </c>
      <c r="E12" s="13" t="inlineStr">
        <is>
          <t>Monthly</t>
        </is>
      </c>
      <c r="F12" s="12" t="inlineStr">
        <is>
          <t>Số member đạt target / tổng member × 100</t>
        </is>
      </c>
      <c r="G12" s="13" t="inlineStr">
        <is>
          <t>% thành viên</t>
        </is>
      </c>
      <c r="H12" s="12" t="inlineStr">
        <is>
          <t>Dashboard — member KPI summary</t>
        </is>
      </c>
    </row>
    <row r="13" ht="30" customHeight="1">
      <c r="B13" s="12" t="inlineStr">
        <is>
          <t>Điểm spot-check trung bình toàn nhóm</t>
        </is>
      </c>
      <c r="C13" s="13" t="inlineStr">
        <is>
          <t>30%</t>
        </is>
      </c>
      <c r="D13" s="12" t="inlineStr">
        <is>
          <t>≥ 3.8 / 5.0</t>
        </is>
      </c>
      <c r="E13" s="13" t="inlineStr">
        <is>
          <t>Monthly</t>
        </is>
      </c>
      <c r="F13" s="12" t="inlineStr">
        <is>
          <t>TB điểm spot-check của toàn bộ bài được kiểm trong nhóm</t>
        </is>
      </c>
      <c r="G13" s="13" t="inlineStr">
        <is>
          <t>điểm /5</t>
        </is>
      </c>
      <c r="H13" s="12" t="inlineStr">
        <is>
          <t>Spot-check records — toàn nhóm</t>
        </is>
      </c>
    </row>
    <row r="14" ht="30" customHeight="1">
      <c r="B14" s="12" t="inlineStr">
        <is>
          <t>Số R&amp;D log được ghi nhận và triển khai trong tháng</t>
        </is>
      </c>
      <c r="C14" s="13" t="inlineStr">
        <is>
          <t>15%</t>
        </is>
      </c>
      <c r="D14" s="12" t="inlineStr">
        <is>
          <t>≥ 2 cái / tháng</t>
        </is>
      </c>
      <c r="E14" s="13" t="inlineStr">
        <is>
          <t>Monthly</t>
        </is>
      </c>
      <c r="F14" s="12" t="inlineStr">
        <is>
          <t>Đếm R&amp;D log status = completed do Leader tạo</t>
        </is>
      </c>
      <c r="G14" s="13" t="inlineStr">
        <is>
          <t>số lượng (cái)</t>
        </is>
      </c>
      <c r="H14" s="12" t="inlineStr">
        <is>
          <t>R&amp;D Log — Dashboard</t>
        </is>
      </c>
    </row>
    <row r="16" ht="21.75" customHeight="1">
      <c r="A16" s="3" t="inlineStr">
        <is>
          <t xml:space="preserve">  PHẦN 2 — SCORE CARDS MẪU  |  Kỳ đánh giá: Tháng __/2026</t>
        </is>
      </c>
    </row>
    <row r="18" ht="21.75" customHeight="1">
      <c r="A18" s="14" t="inlineStr">
        <is>
          <t xml:space="preserve">  STAFF  —  Score Card</t>
        </is>
      </c>
    </row>
    <row r="19" ht="15.75" customHeight="1">
      <c r="A19" s="15" t="inlineStr">
        <is>
          <t>Họ tên:</t>
        </is>
      </c>
      <c r="B19" s="16" t="inlineStr">
        <is>
          <t>[Họ tên nhân viên]</t>
        </is>
      </c>
      <c r="C19" s="15" t="inlineStr">
        <is>
          <t>Vị trí:</t>
        </is>
      </c>
      <c r="D19" s="16" t="inlineStr">
        <is>
          <t>STAFF</t>
        </is>
      </c>
      <c r="E19" s="15" t="inlineStr">
        <is>
          <t>Phòng/Nhóm:</t>
        </is>
      </c>
      <c r="F19" s="16" t="inlineStr">
        <is>
          <t>Nhóm Bài viết — Long Châu Content</t>
        </is>
      </c>
      <c r="G19" s="15" t="inlineStr">
        <is>
          <t>Kỳ:</t>
        </is>
      </c>
      <c r="H19" s="16" t="inlineStr">
        <is>
          <t>Tháng __/2026</t>
        </is>
      </c>
    </row>
    <row r="20" ht="18" customHeight="1">
      <c r="A20" s="17" t="inlineStr">
        <is>
          <t>STT</t>
        </is>
      </c>
      <c r="B20" s="17" t="inlineStr">
        <is>
          <t>KPI</t>
        </is>
      </c>
      <c r="C20" s="17" t="inlineStr">
        <is>
          <t>Trọng số</t>
        </is>
      </c>
      <c r="D20" s="17" t="inlineStr">
        <is>
          <t>Target (Số)</t>
        </is>
      </c>
      <c r="E20" s="17" t="inlineStr">
        <is>
          <t>Thực tế (Số)</t>
        </is>
      </c>
      <c r="F20" s="17" t="inlineStr">
        <is>
          <t>Achievement %</t>
        </is>
      </c>
      <c r="G20" s="17" t="inlineStr">
        <is>
          <t>Điểm KPI</t>
        </is>
      </c>
      <c r="H20" s="17" t="inlineStr">
        <is>
          <t>Ghi chú</t>
        </is>
      </c>
    </row>
    <row r="21" ht="24" customHeight="1">
      <c r="A21" s="18" t="n">
        <v>1</v>
      </c>
      <c r="B21" s="19" t="inlineStr">
        <is>
          <t>Tổng điểm KPI thực tế (điểm)</t>
        </is>
      </c>
      <c r="C21" s="18" t="n">
        <v>0.5</v>
      </c>
      <c r="D21" s="18" t="n">
        <v>294</v>
      </c>
      <c r="E21" s="18" t="n"/>
      <c r="F21" s="18">
        <f>IF(D21=0,0,MIN(E21/D21*100,120))</f>
        <v/>
      </c>
      <c r="G21" s="18">
        <f>F21*C21</f>
        <v/>
      </c>
      <c r="H21" s="18" t="inlineStr"/>
    </row>
    <row r="22" ht="24" customHeight="1">
      <c r="A22" s="20" t="n">
        <v>2</v>
      </c>
      <c r="B22" s="21" t="inlineStr">
        <is>
          <t>Tỷ lệ submission on-time (%)</t>
        </is>
      </c>
      <c r="C22" s="20" t="n">
        <v>0.3</v>
      </c>
      <c r="D22" s="20" t="n">
        <v>95</v>
      </c>
      <c r="E22" s="20" t="n"/>
      <c r="F22" s="20">
        <f>IF(D22=0,0,MIN(E22/D22*100,120))</f>
        <v/>
      </c>
      <c r="G22" s="20">
        <f>F22*C22</f>
        <v/>
      </c>
      <c r="H22" s="20" t="inlineStr"/>
    </row>
    <row r="23" ht="24" customHeight="1">
      <c r="A23" s="18" t="n">
        <v>3</v>
      </c>
      <c r="B23" s="19" t="inlineStr">
        <is>
          <t>Điểm spot-check TB (×20 để quy ra thang 100)</t>
        </is>
      </c>
      <c r="C23" s="18" t="n">
        <v>0.2</v>
      </c>
      <c r="D23" s="18" t="n">
        <v>60</v>
      </c>
      <c r="E23" s="18" t="n"/>
      <c r="F23" s="18">
        <f>IF(D23=0,0,MIN(E23/D23*100,120))</f>
        <v/>
      </c>
      <c r="G23" s="18">
        <f>F23*C23</f>
        <v/>
      </c>
      <c r="H23" s="18" t="inlineStr"/>
    </row>
    <row r="24" ht="21.75" customHeight="1">
      <c r="A24" s="3" t="inlineStr">
        <is>
          <t>TỔNG ĐIỂM</t>
        </is>
      </c>
      <c r="G24" s="22">
        <f>SUM(G21:G23)</f>
        <v/>
      </c>
      <c r="H24" s="23" t="n"/>
    </row>
    <row r="25" ht="21.75" customHeight="1">
      <c r="A25" s="24" t="inlineStr">
        <is>
          <t>XẾP LOẠI ĐÁNH GIÁ</t>
        </is>
      </c>
      <c r="G25" s="25">
        <f>IF(G24&gt;=100,"★  OUTSTANDING",IF(G24&gt;=90,"▲  EXCEED EXPECTATIONS",IF(G24&gt;=80,"✔  MEETS EXPECTATIONS","✘  BELOW EXPECTATIONS")))</f>
        <v/>
      </c>
    </row>
    <row r="26" ht="19.5" customHeight="1">
      <c r="A26" s="26" t="inlineStr">
        <is>
          <t>Ghi chú Manager:</t>
        </is>
      </c>
      <c r="C26" s="27" t="inlineStr"/>
    </row>
    <row r="28" ht="21.75" customHeight="1">
      <c r="A28" s="28" t="inlineStr">
        <is>
          <t xml:space="preserve">  SENIOR  —  Score Card</t>
        </is>
      </c>
    </row>
    <row r="29" ht="15.75" customHeight="1">
      <c r="A29" s="15" t="inlineStr">
        <is>
          <t>Họ tên:</t>
        </is>
      </c>
      <c r="B29" s="16" t="inlineStr">
        <is>
          <t>[Họ tên nhân viên]</t>
        </is>
      </c>
      <c r="C29" s="15" t="inlineStr">
        <is>
          <t>Vị trí:</t>
        </is>
      </c>
      <c r="D29" s="16" t="inlineStr">
        <is>
          <t>SENIOR</t>
        </is>
      </c>
      <c r="E29" s="15" t="inlineStr">
        <is>
          <t>Phòng/Nhóm:</t>
        </is>
      </c>
      <c r="F29" s="16" t="inlineStr">
        <is>
          <t>Nhóm Bài viết — Long Châu Content</t>
        </is>
      </c>
      <c r="G29" s="15" t="inlineStr">
        <is>
          <t>Kỳ:</t>
        </is>
      </c>
      <c r="H29" s="16" t="inlineStr">
        <is>
          <t>Tháng __/2026</t>
        </is>
      </c>
    </row>
    <row r="30" ht="18" customHeight="1">
      <c r="A30" s="17" t="inlineStr">
        <is>
          <t>STT</t>
        </is>
      </c>
      <c r="B30" s="17" t="inlineStr">
        <is>
          <t>KPI</t>
        </is>
      </c>
      <c r="C30" s="17" t="inlineStr">
        <is>
          <t>Trọng số</t>
        </is>
      </c>
      <c r="D30" s="17" t="inlineStr">
        <is>
          <t>Target (Số)</t>
        </is>
      </c>
      <c r="E30" s="17" t="inlineStr">
        <is>
          <t>Thực tế (Số)</t>
        </is>
      </c>
      <c r="F30" s="17" t="inlineStr">
        <is>
          <t>Achievement %</t>
        </is>
      </c>
      <c r="G30" s="17" t="inlineStr">
        <is>
          <t>Điểm KPI</t>
        </is>
      </c>
      <c r="H30" s="17" t="inlineStr">
        <is>
          <t>Ghi chú</t>
        </is>
      </c>
    </row>
    <row r="31" ht="24" customHeight="1">
      <c r="A31" s="18" t="n">
        <v>1</v>
      </c>
      <c r="B31" s="19" t="inlineStr">
        <is>
          <t>Tổng điểm KPI thực tế / target (%)</t>
        </is>
      </c>
      <c r="C31" s="18" t="n">
        <v>0.5</v>
      </c>
      <c r="D31" s="18" t="n">
        <v>110</v>
      </c>
      <c r="E31" s="18" t="n"/>
      <c r="F31" s="18">
        <f>IF(D31=0,0,MIN(E31/D31*100,120))</f>
        <v/>
      </c>
      <c r="G31" s="18">
        <f>F31*C31</f>
        <v/>
      </c>
      <c r="H31" s="18" t="inlineStr"/>
    </row>
    <row r="32" ht="24" customHeight="1">
      <c r="A32" s="20" t="n">
        <v>2</v>
      </c>
      <c r="B32" s="21" t="inlineStr">
        <is>
          <t>Điểm spot-check TB (×20 để quy ra thang 100)</t>
        </is>
      </c>
      <c r="C32" s="20" t="n">
        <v>0.35</v>
      </c>
      <c r="D32" s="20" t="n">
        <v>80</v>
      </c>
      <c r="E32" s="20" t="n"/>
      <c r="F32" s="20">
        <f>IF(D32=0,0,MIN(E32/D32*100,120))</f>
        <v/>
      </c>
      <c r="G32" s="20">
        <f>F32*C32</f>
        <v/>
      </c>
      <c r="H32" s="20" t="inlineStr"/>
    </row>
    <row r="33" ht="24" customHeight="1">
      <c r="A33" s="18" t="n">
        <v>3</v>
      </c>
      <c r="B33" s="19" t="inlineStr">
        <is>
          <t>Số SOP/R&amp;D log được áp dụng trong quý (cái)</t>
        </is>
      </c>
      <c r="C33" s="18" t="n">
        <v>0.15</v>
      </c>
      <c r="D33" s="18" t="n">
        <v>1</v>
      </c>
      <c r="E33" s="18" t="n"/>
      <c r="F33" s="18">
        <f>IF(D33=0,0,MIN(E33/D33*100,120))</f>
        <v/>
      </c>
      <c r="G33" s="18">
        <f>F33*C33</f>
        <v/>
      </c>
      <c r="H33" s="18" t="inlineStr"/>
    </row>
    <row r="34" ht="21.75" customHeight="1">
      <c r="A34" s="3" t="inlineStr">
        <is>
          <t>TỔNG ĐIỂM</t>
        </is>
      </c>
      <c r="G34" s="22">
        <f>SUM(G31:G33)</f>
        <v/>
      </c>
      <c r="H34" s="23" t="n"/>
    </row>
    <row r="35" ht="21.75" customHeight="1">
      <c r="A35" s="24" t="inlineStr">
        <is>
          <t>XẾP LOẠI ĐÁNH GIÁ</t>
        </is>
      </c>
      <c r="G35" s="25">
        <f>IF(G34&gt;=100,"★  OUTSTANDING",IF(G34&gt;=90,"▲  EXCEED EXPECTATIONS",IF(G34&gt;=80,"✔  MEETS EXPECTATIONS","✘  BELOW EXPECTATIONS")))</f>
        <v/>
      </c>
    </row>
    <row r="36" ht="19.5" customHeight="1">
      <c r="A36" s="26" t="inlineStr">
        <is>
          <t>Ghi chú Manager:</t>
        </is>
      </c>
      <c r="C36" s="27" t="inlineStr"/>
    </row>
    <row r="38" ht="21.75" customHeight="1">
      <c r="A38" s="29" t="inlineStr">
        <is>
          <t xml:space="preserve">  LEAD / MANAGER  —  Score Card</t>
        </is>
      </c>
    </row>
    <row r="39" ht="15.75" customHeight="1">
      <c r="A39" s="15" t="inlineStr">
        <is>
          <t>Họ tên:</t>
        </is>
      </c>
      <c r="B39" s="16" t="inlineStr">
        <is>
          <t>[Họ tên nhân viên]</t>
        </is>
      </c>
      <c r="C39" s="15" t="inlineStr">
        <is>
          <t>Vị trí:</t>
        </is>
      </c>
      <c r="D39" s="16" t="inlineStr">
        <is>
          <t>LEAD</t>
        </is>
      </c>
      <c r="E39" s="15" t="inlineStr">
        <is>
          <t>Phòng/Nhóm:</t>
        </is>
      </c>
      <c r="F39" s="16" t="inlineStr">
        <is>
          <t>Nhóm Bài viết — Long Châu Content</t>
        </is>
      </c>
      <c r="G39" s="15" t="inlineStr">
        <is>
          <t>Kỳ:</t>
        </is>
      </c>
      <c r="H39" s="16" t="inlineStr">
        <is>
          <t>Tháng __/2026</t>
        </is>
      </c>
    </row>
    <row r="40" ht="18" customHeight="1">
      <c r="A40" s="17" t="inlineStr">
        <is>
          <t>STT</t>
        </is>
      </c>
      <c r="B40" s="17" t="inlineStr">
        <is>
          <t>KPI</t>
        </is>
      </c>
      <c r="C40" s="17" t="inlineStr">
        <is>
          <t>Trọng số</t>
        </is>
      </c>
      <c r="D40" s="17" t="inlineStr">
        <is>
          <t>Target (Số)</t>
        </is>
      </c>
      <c r="E40" s="17" t="inlineStr">
        <is>
          <t>Thực tế (Số)</t>
        </is>
      </c>
      <c r="F40" s="17" t="inlineStr">
        <is>
          <t>Achievement %</t>
        </is>
      </c>
      <c r="G40" s="17" t="inlineStr">
        <is>
          <t>Điểm KPI</t>
        </is>
      </c>
      <c r="H40" s="17" t="inlineStr">
        <is>
          <t>Ghi chú</t>
        </is>
      </c>
    </row>
    <row r="41" ht="24" customHeight="1">
      <c r="A41" s="18" t="n">
        <v>1</v>
      </c>
      <c r="B41" s="19" t="inlineStr">
        <is>
          <t>Tỷ lệ thành viên đạt target KPI (%)</t>
        </is>
      </c>
      <c r="C41" s="18" t="n">
        <v>0.55</v>
      </c>
      <c r="D41" s="18" t="n">
        <v>85</v>
      </c>
      <c r="E41" s="18" t="n"/>
      <c r="F41" s="18">
        <f>IF(D41=0,0,MIN(E41/D41*100,120))</f>
        <v/>
      </c>
      <c r="G41" s="18">
        <f>F41*C41</f>
        <v/>
      </c>
      <c r="H41" s="18" t="inlineStr"/>
    </row>
    <row r="42" ht="24" customHeight="1">
      <c r="A42" s="20" t="n">
        <v>2</v>
      </c>
      <c r="B42" s="21" t="inlineStr">
        <is>
          <t>Điểm spot-check TB toàn nhóm (×20 quy thang 100)</t>
        </is>
      </c>
      <c r="C42" s="20" t="n">
        <v>0.3</v>
      </c>
      <c r="D42" s="20" t="n">
        <v>76</v>
      </c>
      <c r="E42" s="20" t="n"/>
      <c r="F42" s="20">
        <f>IF(D42=0,0,MIN(E42/D42*100,120))</f>
        <v/>
      </c>
      <c r="G42" s="20">
        <f>F42*C42</f>
        <v/>
      </c>
      <c r="H42" s="20" t="inlineStr"/>
    </row>
    <row r="43" ht="24" customHeight="1">
      <c r="A43" s="18" t="n">
        <v>3</v>
      </c>
      <c r="B43" s="19" t="inlineStr">
        <is>
          <t>Số R&amp;D log triển khai trong tháng (cái)</t>
        </is>
      </c>
      <c r="C43" s="18" t="n">
        <v>0.15</v>
      </c>
      <c r="D43" s="18" t="n">
        <v>2</v>
      </c>
      <c r="E43" s="18" t="n"/>
      <c r="F43" s="18">
        <f>IF(D43=0,0,MIN(E43/D43*100,120))</f>
        <v/>
      </c>
      <c r="G43" s="18">
        <f>F43*C43</f>
        <v/>
      </c>
      <c r="H43" s="18" t="inlineStr"/>
    </row>
    <row r="44" ht="21.75" customHeight="1">
      <c r="A44" s="3" t="inlineStr">
        <is>
          <t>TỔNG ĐIỂM</t>
        </is>
      </c>
      <c r="G44" s="22">
        <f>SUM(G41:G43)</f>
        <v/>
      </c>
      <c r="H44" s="23" t="n"/>
    </row>
    <row r="45" ht="21.75" customHeight="1">
      <c r="A45" s="24" t="inlineStr">
        <is>
          <t>XẾP LOẠI ĐÁNH GIÁ</t>
        </is>
      </c>
      <c r="G45" s="25">
        <f>IF(G44&gt;=100,"★  OUTSTANDING",IF(G44&gt;=90,"▲  EXCEED EXPECTATIONS",IF(G44&gt;=80,"✔  MEETS EXPECTATIONS","✘  BELOW EXPECTATIONS")))</f>
        <v/>
      </c>
    </row>
    <row r="46" ht="19.5" customHeight="1">
      <c r="A46" s="26" t="inlineStr">
        <is>
          <t>Ghi chú Manager:</t>
        </is>
      </c>
      <c r="C46" s="27" t="inlineStr"/>
    </row>
  </sheetData>
  <mergeCells count="25">
    <mergeCell ref="A12:A14"/>
    <mergeCell ref="A36:B36"/>
    <mergeCell ref="A1:H1"/>
    <mergeCell ref="C46:H46"/>
    <mergeCell ref="C36:H36"/>
    <mergeCell ref="A16:H16"/>
    <mergeCell ref="A46:B46"/>
    <mergeCell ref="A35:F35"/>
    <mergeCell ref="A9:A11"/>
    <mergeCell ref="A18:H18"/>
    <mergeCell ref="A26:B26"/>
    <mergeCell ref="A44:F44"/>
    <mergeCell ref="A2:H2"/>
    <mergeCell ref="A34:F34"/>
    <mergeCell ref="G45:H45"/>
    <mergeCell ref="A6:A8"/>
    <mergeCell ref="A24:F24"/>
    <mergeCell ref="A4:H4"/>
    <mergeCell ref="G35:H35"/>
    <mergeCell ref="A38:H38"/>
    <mergeCell ref="A45:F45"/>
    <mergeCell ref="G25:H25"/>
    <mergeCell ref="A28:H28"/>
    <mergeCell ref="C26:H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9" customWidth="1" min="3" max="3"/>
    <col width="18" customWidth="1" min="4" max="4"/>
    <col width="14" customWidth="1" min="5" max="5"/>
    <col width="22" customWidth="1" min="6" max="6"/>
    <col width="13" customWidth="1" min="7" max="7"/>
    <col width="26" customWidth="1" min="8" max="8"/>
  </cols>
  <sheetData>
    <row r="1" ht="25.5" customHeight="1">
      <c r="A1" s="1" t="inlineStr">
        <is>
          <t xml:space="preserve">  Content</t>
        </is>
      </c>
    </row>
    <row r="2" ht="21.75" customHeight="1">
      <c r="A2" s="2" t="inlineStr">
        <is>
          <t xml:space="preserve">  Nhóm Sản phẩm — Long Châu Content</t>
        </is>
      </c>
    </row>
    <row r="4" ht="21.75" customHeight="1">
      <c r="A4" s="3" t="inlineStr">
        <is>
          <t xml:space="preserve">  PHẦN 1 — KPI FRAMEWORK THEO TẦNG VỊ TRÍ</t>
        </is>
      </c>
    </row>
    <row r="5" ht="21.75" customHeight="1">
      <c r="A5" s="4" t="inlineStr">
        <is>
          <t>Tầng</t>
        </is>
      </c>
      <c r="B5" s="4" t="inlineStr">
        <is>
          <t>KPI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</t>
        </is>
      </c>
      <c r="F5" s="4" t="inlineStr">
        <is>
          <t>Cách đo</t>
        </is>
      </c>
      <c r="G5" s="4" t="inlineStr">
        <is>
          <t>Đơn vị</t>
        </is>
      </c>
      <c r="H5" s="4" t="inlineStr">
        <is>
          <t>Nguồn dữ liệu</t>
        </is>
      </c>
    </row>
    <row r="6" ht="30" customHeight="1">
      <c r="A6" s="5" t="inlineStr">
        <is>
          <t>STAFF
(Làm đúng &amp; chuẩn)</t>
        </is>
      </c>
      <c r="B6" s="6" t="inlineStr">
        <is>
          <t>Tổng điểm KPI thực tế đạt được trong tháng</t>
        </is>
      </c>
      <c r="C6" s="7" t="inlineStr">
        <is>
          <t>50%</t>
        </is>
      </c>
      <c r="D6" s="6" t="inlineStr">
        <is>
          <t>≥ 294 điểm</t>
        </is>
      </c>
      <c r="E6" s="7" t="inlineStr">
        <is>
          <t>Monthly</t>
        </is>
      </c>
      <c r="F6" s="6" t="inlineStr">
        <is>
          <t>Cộng toàn bộ điểm từ các submission đã duyệt</t>
        </is>
      </c>
      <c r="G6" s="7" t="inlineStr">
        <is>
          <t>điểm</t>
        </is>
      </c>
      <c r="H6" s="6" t="inlineStr">
        <is>
          <t>Dashboard KPI sheet</t>
        </is>
      </c>
    </row>
    <row r="7" ht="30" customHeight="1">
      <c r="B7" s="6" t="inlineStr">
        <is>
          <t>Số sản phẩm có lỗi thông tin bị phát hiện sau publish</t>
        </is>
      </c>
      <c r="C7" s="7" t="inlineStr">
        <is>
          <t>30%</t>
        </is>
      </c>
      <c r="D7" s="6" t="inlineStr">
        <is>
          <t>0 lỗi / tháng</t>
        </is>
      </c>
      <c r="E7" s="7" t="inlineStr">
        <is>
          <t>Monthly</t>
        </is>
      </c>
      <c r="F7" s="6" t="inlineStr">
        <is>
          <t>Đếm ticket lỗi nội dung sản phẩm được báo cáo trong tháng</t>
        </is>
      </c>
      <c r="G7" s="7" t="inlineStr">
        <is>
          <t>số lượng (cái)</t>
        </is>
      </c>
      <c r="H7" s="6" t="inlineStr">
        <is>
          <t>QA log / ticket system</t>
        </is>
      </c>
    </row>
    <row r="8" ht="30" customHeight="1">
      <c r="B8" s="6" t="inlineStr">
        <is>
          <t>Tỷ lệ task upload / cập nhật hoàn thành đúng lịch</t>
        </is>
      </c>
      <c r="C8" s="7" t="inlineStr">
        <is>
          <t>20%</t>
        </is>
      </c>
      <c r="D8" s="6" t="inlineStr">
        <is>
          <t>≥ 95%</t>
        </is>
      </c>
      <c r="E8" s="7" t="inlineStr">
        <is>
          <t>Monthly</t>
        </is>
      </c>
      <c r="F8" s="6" t="inlineStr">
        <is>
          <t>Số task on-time / tổng task được giao × 100</t>
        </is>
      </c>
      <c r="G8" s="7" t="inlineStr">
        <is>
          <t>% (số)</t>
        </is>
      </c>
      <c r="H8" s="6" t="inlineStr">
        <is>
          <t>Dashboard — submission timestamps</t>
        </is>
      </c>
    </row>
    <row r="9" ht="30" customHeight="1">
      <c r="A9" s="8" t="inlineStr">
        <is>
          <t>SENIOR
(Tối ưu &amp; cải tiến)</t>
        </is>
      </c>
      <c r="B9" s="9" t="inlineStr">
        <is>
          <t>Tổng điểm KPI thực tế / target tháng</t>
        </is>
      </c>
      <c r="C9" s="10" t="inlineStr">
        <is>
          <t>50%</t>
        </is>
      </c>
      <c r="D9" s="9" t="inlineStr">
        <is>
          <t>≥ 110% (≥ 323đ)</t>
        </is>
      </c>
      <c r="E9" s="10" t="inlineStr">
        <is>
          <t>Monthly</t>
        </is>
      </c>
      <c r="F9" s="9" t="inlineStr">
        <is>
          <t>Điểm thực tế / 294 × 100</t>
        </is>
      </c>
      <c r="G9" s="10" t="inlineStr">
        <is>
          <t>% của target</t>
        </is>
      </c>
      <c r="H9" s="9" t="inlineStr">
        <is>
          <t>Dashboard KPI sheet</t>
        </is>
      </c>
    </row>
    <row r="10" ht="30" customHeight="1">
      <c r="B10" s="9" t="inlineStr">
        <is>
          <t>Số sản phẩm có lỗi thông tin bị phát hiện sau publish</t>
        </is>
      </c>
      <c r="C10" s="10" t="inlineStr">
        <is>
          <t>35%</t>
        </is>
      </c>
      <c r="D10" s="9" t="inlineStr">
        <is>
          <t>0 lỗi / tháng</t>
        </is>
      </c>
      <c r="E10" s="10" t="inlineStr">
        <is>
          <t>Monthly</t>
        </is>
      </c>
      <c r="F10" s="9" t="inlineStr">
        <is>
          <t>Đếm ticket lỗi nội dung sản phẩm được báo cáo</t>
        </is>
      </c>
      <c r="G10" s="10" t="inlineStr">
        <is>
          <t>số lượng (cái)</t>
        </is>
      </c>
      <c r="H10" s="9" t="inlineStr">
        <is>
          <t>QA log / ticket system</t>
        </is>
      </c>
    </row>
    <row r="11" ht="30" customHeight="1">
      <c r="B11" s="9" t="inlineStr">
        <is>
          <t>Số cải tiến template / quy trình sản phẩm được áp dụng</t>
        </is>
      </c>
      <c r="C11" s="10" t="inlineStr">
        <is>
          <t>15%</t>
        </is>
      </c>
      <c r="D11" s="9" t="inlineStr">
        <is>
          <t>≥ 1 cái / quý</t>
        </is>
      </c>
      <c r="E11" s="10" t="inlineStr">
        <is>
          <t>Quarterly</t>
        </is>
      </c>
      <c r="F11" s="9" t="inlineStr">
        <is>
          <t>Đếm R&amp;D log status = completed liên quan đến quy trình SP</t>
        </is>
      </c>
      <c r="G11" s="10" t="inlineStr">
        <is>
          <t>số lượng (cái)</t>
        </is>
      </c>
      <c r="H11" s="9" t="inlineStr">
        <is>
          <t>R&amp;D Log — Dashboard</t>
        </is>
      </c>
    </row>
    <row r="12" ht="30" customHeight="1">
      <c r="A12" s="11" t="inlineStr">
        <is>
          <t>LEAD / MANAGER
(Outcome &amp; Impact)</t>
        </is>
      </c>
      <c r="B12" s="12" t="inlineStr">
        <is>
          <t>Tỷ lệ thành viên team đạt ≥ 100% target KPI tháng</t>
        </is>
      </c>
      <c r="C12" s="13" t="inlineStr">
        <is>
          <t>55%</t>
        </is>
      </c>
      <c r="D12" s="12" t="inlineStr">
        <is>
          <t>≥ 85% thành viên</t>
        </is>
      </c>
      <c r="E12" s="13" t="inlineStr">
        <is>
          <t>Monthly</t>
        </is>
      </c>
      <c r="F12" s="12" t="inlineStr">
        <is>
          <t>Số member đạt target / tổng member × 100</t>
        </is>
      </c>
      <c r="G12" s="13" t="inlineStr">
        <is>
          <t>% thành viên</t>
        </is>
      </c>
      <c r="H12" s="12" t="inlineStr">
        <is>
          <t>Dashboard — member KPI summary</t>
        </is>
      </c>
    </row>
    <row r="13" ht="30" customHeight="1">
      <c r="B13" s="12" t="inlineStr">
        <is>
          <t>Tổng số lỗi thông tin sản phẩm phát sinh trong nhóm</t>
        </is>
      </c>
      <c r="C13" s="13" t="inlineStr">
        <is>
          <t>30%</t>
        </is>
      </c>
      <c r="D13" s="12" t="inlineStr">
        <is>
          <t>0 lỗi / tháng</t>
        </is>
      </c>
      <c r="E13" s="13" t="inlineStr">
        <is>
          <t>Monthly</t>
        </is>
      </c>
      <c r="F13" s="12" t="inlineStr">
        <is>
          <t>Đếm toàn bộ ticket lỗi nội dung SP của nhóm trong tháng</t>
        </is>
      </c>
      <c r="G13" s="13" t="inlineStr">
        <is>
          <t>số lượng (cái)</t>
        </is>
      </c>
      <c r="H13" s="12" t="inlineStr">
        <is>
          <t>QA log / ticket system</t>
        </is>
      </c>
    </row>
    <row r="14" ht="30" customHeight="1">
      <c r="B14" s="12" t="inlineStr">
        <is>
          <t>Tỷ lệ catalog được cập nhật đúng lịch trong tháng</t>
        </is>
      </c>
      <c r="C14" s="13" t="inlineStr">
        <is>
          <t>15%</t>
        </is>
      </c>
      <c r="D14" s="12" t="inlineStr">
        <is>
          <t>≥ 95%</t>
        </is>
      </c>
      <c r="E14" s="13" t="inlineStr">
        <is>
          <t>Monthly</t>
        </is>
      </c>
      <c r="F14" s="12" t="inlineStr">
        <is>
          <t>Số mục catalog on-time / tổng mục cần cập nhật × 100</t>
        </is>
      </c>
      <c r="G14" s="13" t="inlineStr">
        <is>
          <t>% (số)</t>
        </is>
      </c>
      <c r="H14" s="12" t="inlineStr">
        <is>
          <t>Upload schedule tracking</t>
        </is>
      </c>
    </row>
    <row r="16" ht="21.75" customHeight="1">
      <c r="A16" s="3" t="inlineStr">
        <is>
          <t xml:space="preserve">  PHẦN 2 — SCORE CARDS MẪU  |  Kỳ đánh giá: Tháng __/2026</t>
        </is>
      </c>
    </row>
    <row r="18" ht="21.75" customHeight="1">
      <c r="A18" s="14" t="inlineStr">
        <is>
          <t xml:space="preserve">  STAFF  —  Score Card</t>
        </is>
      </c>
    </row>
    <row r="19" ht="15.75" customHeight="1">
      <c r="A19" s="15" t="inlineStr">
        <is>
          <t>Họ tên:</t>
        </is>
      </c>
      <c r="B19" s="16" t="inlineStr">
        <is>
          <t>[Họ tên nhân viên]</t>
        </is>
      </c>
      <c r="C19" s="15" t="inlineStr">
        <is>
          <t>Vị trí:</t>
        </is>
      </c>
      <c r="D19" s="16" t="inlineStr">
        <is>
          <t>STAFF</t>
        </is>
      </c>
      <c r="E19" s="15" t="inlineStr">
        <is>
          <t>Phòng/Nhóm:</t>
        </is>
      </c>
      <c r="F19" s="16" t="inlineStr">
        <is>
          <t>Nhóm Sản phẩm — Long Châu Content</t>
        </is>
      </c>
      <c r="G19" s="15" t="inlineStr">
        <is>
          <t>Kỳ:</t>
        </is>
      </c>
      <c r="H19" s="16" t="inlineStr">
        <is>
          <t>Tháng __/2026</t>
        </is>
      </c>
    </row>
    <row r="20" ht="18" customHeight="1">
      <c r="A20" s="17" t="inlineStr">
        <is>
          <t>STT</t>
        </is>
      </c>
      <c r="B20" s="17" t="inlineStr">
        <is>
          <t>KPI</t>
        </is>
      </c>
      <c r="C20" s="17" t="inlineStr">
        <is>
          <t>Trọng số</t>
        </is>
      </c>
      <c r="D20" s="17" t="inlineStr">
        <is>
          <t>Target (Số)</t>
        </is>
      </c>
      <c r="E20" s="17" t="inlineStr">
        <is>
          <t>Thực tế (Số)</t>
        </is>
      </c>
      <c r="F20" s="17" t="inlineStr">
        <is>
          <t>Achievement %</t>
        </is>
      </c>
      <c r="G20" s="17" t="inlineStr">
        <is>
          <t>Điểm KPI</t>
        </is>
      </c>
      <c r="H20" s="17" t="inlineStr">
        <is>
          <t>Ghi chú</t>
        </is>
      </c>
    </row>
    <row r="21" ht="24" customHeight="1">
      <c r="A21" s="18" t="n">
        <v>1</v>
      </c>
      <c r="B21" s="19" t="inlineStr">
        <is>
          <t>Tổng điểm KPI thực tế (điểm)</t>
        </is>
      </c>
      <c r="C21" s="18" t="n">
        <v>0.5</v>
      </c>
      <c r="D21" s="18" t="n">
        <v>294</v>
      </c>
      <c r="E21" s="18" t="n"/>
      <c r="F21" s="18">
        <f>IF(D21=0,0,MIN(E21/D21*100,120))</f>
        <v/>
      </c>
      <c r="G21" s="18">
        <f>F21*C21</f>
        <v/>
      </c>
      <c r="H21" s="18" t="inlineStr"/>
    </row>
    <row r="22" ht="24" customHeight="1">
      <c r="A22" s="20" t="n">
        <v>2</v>
      </c>
      <c r="B22" s="21" t="inlineStr">
        <is>
          <t>Số lỗi sản phẩm sau publish — 0 lỗi = 100đ, &gt;0 = 0đ</t>
        </is>
      </c>
      <c r="C22" s="20" t="n">
        <v>0.3</v>
      </c>
      <c r="D22" s="20" t="n">
        <v>100</v>
      </c>
      <c r="E22" s="20" t="n"/>
      <c r="F22" s="20">
        <f>IF(D22=0,0,MIN(E22/D22*100,120))</f>
        <v/>
      </c>
      <c r="G22" s="20">
        <f>F22*C22</f>
        <v/>
      </c>
      <c r="H22" s="20" t="inlineStr"/>
    </row>
    <row r="23" ht="24" customHeight="1">
      <c r="A23" s="18" t="n">
        <v>3</v>
      </c>
      <c r="B23" s="19" t="inlineStr">
        <is>
          <t>Tỷ lệ task on-time (%)</t>
        </is>
      </c>
      <c r="C23" s="18" t="n">
        <v>0.2</v>
      </c>
      <c r="D23" s="18" t="n">
        <v>95</v>
      </c>
      <c r="E23" s="18" t="n"/>
      <c r="F23" s="18">
        <f>IF(D23=0,0,MIN(E23/D23*100,120))</f>
        <v/>
      </c>
      <c r="G23" s="18">
        <f>F23*C23</f>
        <v/>
      </c>
      <c r="H23" s="18" t="inlineStr"/>
    </row>
    <row r="24" ht="21.75" customHeight="1">
      <c r="A24" s="3" t="inlineStr">
        <is>
          <t>TỔNG ĐIỂM</t>
        </is>
      </c>
      <c r="G24" s="22">
        <f>SUM(G21:G23)</f>
        <v/>
      </c>
      <c r="H24" s="23" t="n"/>
    </row>
    <row r="25" ht="21.75" customHeight="1">
      <c r="A25" s="24" t="inlineStr">
        <is>
          <t>XẾP LOẠI ĐÁNH GIÁ</t>
        </is>
      </c>
      <c r="G25" s="25">
        <f>IF(G24&gt;=100,"★  OUTSTANDING",IF(G24&gt;=90,"▲  EXCEED EXPECTATIONS",IF(G24&gt;=80,"✔  MEETS EXPECTATIONS","✘  BELOW EXPECTATIONS")))</f>
        <v/>
      </c>
    </row>
    <row r="26" ht="19.5" customHeight="1">
      <c r="A26" s="26" t="inlineStr">
        <is>
          <t>Ghi chú Manager:</t>
        </is>
      </c>
      <c r="C26" s="27" t="inlineStr"/>
    </row>
    <row r="28" ht="21.75" customHeight="1">
      <c r="A28" s="28" t="inlineStr">
        <is>
          <t xml:space="preserve">  SENIOR  —  Score Card</t>
        </is>
      </c>
    </row>
    <row r="29" ht="15.75" customHeight="1">
      <c r="A29" s="15" t="inlineStr">
        <is>
          <t>Họ tên:</t>
        </is>
      </c>
      <c r="B29" s="16" t="inlineStr">
        <is>
          <t>[Họ tên nhân viên]</t>
        </is>
      </c>
      <c r="C29" s="15" t="inlineStr">
        <is>
          <t>Vị trí:</t>
        </is>
      </c>
      <c r="D29" s="16" t="inlineStr">
        <is>
          <t>SENIOR</t>
        </is>
      </c>
      <c r="E29" s="15" t="inlineStr">
        <is>
          <t>Phòng/Nhóm:</t>
        </is>
      </c>
      <c r="F29" s="16" t="inlineStr">
        <is>
          <t>Nhóm Sản phẩm — Long Châu Content</t>
        </is>
      </c>
      <c r="G29" s="15" t="inlineStr">
        <is>
          <t>Kỳ:</t>
        </is>
      </c>
      <c r="H29" s="16" t="inlineStr">
        <is>
          <t>Tháng __/2026</t>
        </is>
      </c>
    </row>
    <row r="30" ht="18" customHeight="1">
      <c r="A30" s="17" t="inlineStr">
        <is>
          <t>STT</t>
        </is>
      </c>
      <c r="B30" s="17" t="inlineStr">
        <is>
          <t>KPI</t>
        </is>
      </c>
      <c r="C30" s="17" t="inlineStr">
        <is>
          <t>Trọng số</t>
        </is>
      </c>
      <c r="D30" s="17" t="inlineStr">
        <is>
          <t>Target (Số)</t>
        </is>
      </c>
      <c r="E30" s="17" t="inlineStr">
        <is>
          <t>Thực tế (Số)</t>
        </is>
      </c>
      <c r="F30" s="17" t="inlineStr">
        <is>
          <t>Achievement %</t>
        </is>
      </c>
      <c r="G30" s="17" t="inlineStr">
        <is>
          <t>Điểm KPI</t>
        </is>
      </c>
      <c r="H30" s="17" t="inlineStr">
        <is>
          <t>Ghi chú</t>
        </is>
      </c>
    </row>
    <row r="31" ht="24" customHeight="1">
      <c r="A31" s="18" t="n">
        <v>1</v>
      </c>
      <c r="B31" s="19" t="inlineStr">
        <is>
          <t>Tổng điểm KPI thực tế / target (%)</t>
        </is>
      </c>
      <c r="C31" s="18" t="n">
        <v>0.5</v>
      </c>
      <c r="D31" s="18" t="n">
        <v>110</v>
      </c>
      <c r="E31" s="18" t="n"/>
      <c r="F31" s="18">
        <f>IF(D31=0,0,MIN(E31/D31*100,120))</f>
        <v/>
      </c>
      <c r="G31" s="18">
        <f>F31*C31</f>
        <v/>
      </c>
      <c r="H31" s="18" t="inlineStr"/>
    </row>
    <row r="32" ht="24" customHeight="1">
      <c r="A32" s="20" t="n">
        <v>2</v>
      </c>
      <c r="B32" s="21" t="inlineStr">
        <is>
          <t>Số lỗi sản phẩm sau publish — 0 lỗi = 100đ, &gt;0 = 0đ</t>
        </is>
      </c>
      <c r="C32" s="20" t="n">
        <v>0.35</v>
      </c>
      <c r="D32" s="20" t="n">
        <v>100</v>
      </c>
      <c r="E32" s="20" t="n"/>
      <c r="F32" s="20">
        <f>IF(D32=0,0,MIN(E32/D32*100,120))</f>
        <v/>
      </c>
      <c r="G32" s="20">
        <f>F32*C32</f>
        <v/>
      </c>
      <c r="H32" s="20" t="inlineStr"/>
    </row>
    <row r="33" ht="24" customHeight="1">
      <c r="A33" s="18" t="n">
        <v>3</v>
      </c>
      <c r="B33" s="19" t="inlineStr">
        <is>
          <t>Số cải tiến template/quy trình được áp dụng (cái)</t>
        </is>
      </c>
      <c r="C33" s="18" t="n">
        <v>0.15</v>
      </c>
      <c r="D33" s="18" t="n">
        <v>1</v>
      </c>
      <c r="E33" s="18" t="n"/>
      <c r="F33" s="18">
        <f>IF(D33=0,0,MIN(E33/D33*100,120))</f>
        <v/>
      </c>
      <c r="G33" s="18">
        <f>F33*C33</f>
        <v/>
      </c>
      <c r="H33" s="18" t="inlineStr"/>
    </row>
    <row r="34" ht="21.75" customHeight="1">
      <c r="A34" s="3" t="inlineStr">
        <is>
          <t>TỔNG ĐIỂM</t>
        </is>
      </c>
      <c r="G34" s="22">
        <f>SUM(G31:G33)</f>
        <v/>
      </c>
      <c r="H34" s="23" t="n"/>
    </row>
    <row r="35" ht="21.75" customHeight="1">
      <c r="A35" s="24" t="inlineStr">
        <is>
          <t>XẾP LOẠI ĐÁNH GIÁ</t>
        </is>
      </c>
      <c r="G35" s="25">
        <f>IF(G34&gt;=100,"★  OUTSTANDING",IF(G34&gt;=90,"▲  EXCEED EXPECTATIONS",IF(G34&gt;=80,"✔  MEETS EXPECTATIONS","✘  BELOW EXPECTATIONS")))</f>
        <v/>
      </c>
    </row>
    <row r="36" ht="19.5" customHeight="1">
      <c r="A36" s="26" t="inlineStr">
        <is>
          <t>Ghi chú Manager:</t>
        </is>
      </c>
      <c r="C36" s="27" t="inlineStr"/>
    </row>
    <row r="38" ht="21.75" customHeight="1">
      <c r="A38" s="29" t="inlineStr">
        <is>
          <t xml:space="preserve">  LEAD / MANAGER  —  Score Card</t>
        </is>
      </c>
    </row>
    <row r="39" ht="15.75" customHeight="1">
      <c r="A39" s="15" t="inlineStr">
        <is>
          <t>Họ tên:</t>
        </is>
      </c>
      <c r="B39" s="16" t="inlineStr">
        <is>
          <t>[Họ tên nhân viên]</t>
        </is>
      </c>
      <c r="C39" s="15" t="inlineStr">
        <is>
          <t>Vị trí:</t>
        </is>
      </c>
      <c r="D39" s="16" t="inlineStr">
        <is>
          <t>LEAD</t>
        </is>
      </c>
      <c r="E39" s="15" t="inlineStr">
        <is>
          <t>Phòng/Nhóm:</t>
        </is>
      </c>
      <c r="F39" s="16" t="inlineStr">
        <is>
          <t>Nhóm Sản phẩm — Long Châu Content</t>
        </is>
      </c>
      <c r="G39" s="15" t="inlineStr">
        <is>
          <t>Kỳ:</t>
        </is>
      </c>
      <c r="H39" s="16" t="inlineStr">
        <is>
          <t>Tháng __/2026</t>
        </is>
      </c>
    </row>
    <row r="40" ht="18" customHeight="1">
      <c r="A40" s="17" t="inlineStr">
        <is>
          <t>STT</t>
        </is>
      </c>
      <c r="B40" s="17" t="inlineStr">
        <is>
          <t>KPI</t>
        </is>
      </c>
      <c r="C40" s="17" t="inlineStr">
        <is>
          <t>Trọng số</t>
        </is>
      </c>
      <c r="D40" s="17" t="inlineStr">
        <is>
          <t>Target (Số)</t>
        </is>
      </c>
      <c r="E40" s="17" t="inlineStr">
        <is>
          <t>Thực tế (Số)</t>
        </is>
      </c>
      <c r="F40" s="17" t="inlineStr">
        <is>
          <t>Achievement %</t>
        </is>
      </c>
      <c r="G40" s="17" t="inlineStr">
        <is>
          <t>Điểm KPI</t>
        </is>
      </c>
      <c r="H40" s="17" t="inlineStr">
        <is>
          <t>Ghi chú</t>
        </is>
      </c>
    </row>
    <row r="41" ht="24" customHeight="1">
      <c r="A41" s="18" t="n">
        <v>1</v>
      </c>
      <c r="B41" s="19" t="inlineStr">
        <is>
          <t>Tỷ lệ thành viên đạt target KPI (%)</t>
        </is>
      </c>
      <c r="C41" s="18" t="n">
        <v>0.55</v>
      </c>
      <c r="D41" s="18" t="n">
        <v>85</v>
      </c>
      <c r="E41" s="18" t="n"/>
      <c r="F41" s="18">
        <f>IF(D41=0,0,MIN(E41/D41*100,120))</f>
        <v/>
      </c>
      <c r="G41" s="18">
        <f>F41*C41</f>
        <v/>
      </c>
      <c r="H41" s="18" t="inlineStr"/>
    </row>
    <row r="42" ht="24" customHeight="1">
      <c r="A42" s="20" t="n">
        <v>2</v>
      </c>
      <c r="B42" s="21" t="inlineStr">
        <is>
          <t>Số lỗi SP toàn nhóm — 0 lỗi = 100đ, &gt;0 = 0đ</t>
        </is>
      </c>
      <c r="C42" s="20" t="n">
        <v>0.3</v>
      </c>
      <c r="D42" s="20" t="n">
        <v>100</v>
      </c>
      <c r="E42" s="20" t="n"/>
      <c r="F42" s="20">
        <f>IF(D42=0,0,MIN(E42/D42*100,120))</f>
        <v/>
      </c>
      <c r="G42" s="20">
        <f>F42*C42</f>
        <v/>
      </c>
      <c r="H42" s="20" t="inlineStr"/>
    </row>
    <row r="43" ht="24" customHeight="1">
      <c r="A43" s="18" t="n">
        <v>3</v>
      </c>
      <c r="B43" s="19" t="inlineStr">
        <is>
          <t>Tỷ lệ catalog cập nhật on-time (%)</t>
        </is>
      </c>
      <c r="C43" s="18" t="n">
        <v>0.15</v>
      </c>
      <c r="D43" s="18" t="n">
        <v>95</v>
      </c>
      <c r="E43" s="18" t="n"/>
      <c r="F43" s="18">
        <f>IF(D43=0,0,MIN(E43/D43*100,120))</f>
        <v/>
      </c>
      <c r="G43" s="18">
        <f>F43*C43</f>
        <v/>
      </c>
      <c r="H43" s="18" t="inlineStr"/>
    </row>
    <row r="44" ht="21.75" customHeight="1">
      <c r="A44" s="3" t="inlineStr">
        <is>
          <t>TỔNG ĐIỂM</t>
        </is>
      </c>
      <c r="G44" s="22">
        <f>SUM(G41:G43)</f>
        <v/>
      </c>
      <c r="H44" s="23" t="n"/>
    </row>
    <row r="45" ht="21.75" customHeight="1">
      <c r="A45" s="24" t="inlineStr">
        <is>
          <t>XẾP LOẠI ĐÁNH GIÁ</t>
        </is>
      </c>
      <c r="G45" s="25">
        <f>IF(G44&gt;=100,"★  OUTSTANDING",IF(G44&gt;=90,"▲  EXCEED EXPECTATIONS",IF(G44&gt;=80,"✔  MEETS EXPECTATIONS","✘  BELOW EXPECTATIONS")))</f>
        <v/>
      </c>
    </row>
    <row r="46" ht="19.5" customHeight="1">
      <c r="A46" s="26" t="inlineStr">
        <is>
          <t>Ghi chú Manager:</t>
        </is>
      </c>
      <c r="C46" s="27" t="inlineStr"/>
    </row>
  </sheetData>
  <mergeCells count="25">
    <mergeCell ref="A12:A14"/>
    <mergeCell ref="A36:B36"/>
    <mergeCell ref="A1:H1"/>
    <mergeCell ref="C46:H46"/>
    <mergeCell ref="C36:H36"/>
    <mergeCell ref="A16:H16"/>
    <mergeCell ref="A46:B46"/>
    <mergeCell ref="A35:F35"/>
    <mergeCell ref="A9:A11"/>
    <mergeCell ref="A18:H18"/>
    <mergeCell ref="A26:B26"/>
    <mergeCell ref="A44:F44"/>
    <mergeCell ref="A2:H2"/>
    <mergeCell ref="A34:F34"/>
    <mergeCell ref="G45:H45"/>
    <mergeCell ref="A6:A8"/>
    <mergeCell ref="A24:F24"/>
    <mergeCell ref="A4:H4"/>
    <mergeCell ref="G35:H35"/>
    <mergeCell ref="A38:H38"/>
    <mergeCell ref="A45:F45"/>
    <mergeCell ref="G25:H25"/>
    <mergeCell ref="A28:H28"/>
    <mergeCell ref="C26:H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9" customWidth="1" min="3" max="3"/>
    <col width="18" customWidth="1" min="4" max="4"/>
    <col width="14" customWidth="1" min="5" max="5"/>
    <col width="22" customWidth="1" min="6" max="6"/>
    <col width="13" customWidth="1" min="7" max="7"/>
    <col width="26" customWidth="1" min="8" max="8"/>
  </cols>
  <sheetData>
    <row r="1" ht="25.5" customHeight="1">
      <c r="A1" s="1" t="inlineStr">
        <is>
          <t xml:space="preserve">  Content</t>
        </is>
      </c>
    </row>
    <row r="2" ht="21.75" customHeight="1">
      <c r="A2" s="2" t="inlineStr">
        <is>
          <t xml:space="preserve">  Nhóm Multimedia &amp; Tin nhanh — Long Châu Content</t>
        </is>
      </c>
    </row>
    <row r="4" ht="21.75" customHeight="1">
      <c r="A4" s="3" t="inlineStr">
        <is>
          <t xml:space="preserve">  PHẦN 1 — KPI FRAMEWORK THEO TẦNG VỊ TRÍ</t>
        </is>
      </c>
    </row>
    <row r="5" ht="21.75" customHeight="1">
      <c r="A5" s="4" t="inlineStr">
        <is>
          <t>Tầng</t>
        </is>
      </c>
      <c r="B5" s="4" t="inlineStr">
        <is>
          <t>KPI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</t>
        </is>
      </c>
      <c r="F5" s="4" t="inlineStr">
        <is>
          <t>Cách đo</t>
        </is>
      </c>
      <c r="G5" s="4" t="inlineStr">
        <is>
          <t>Đơn vị</t>
        </is>
      </c>
      <c r="H5" s="4" t="inlineStr">
        <is>
          <t>Nguồn dữ liệu</t>
        </is>
      </c>
    </row>
    <row r="6" ht="30" customHeight="1">
      <c r="A6" s="5" t="inlineStr">
        <is>
          <t>STAFF
(Làm đúng &amp; chuẩn)</t>
        </is>
      </c>
      <c r="B6" s="6" t="inlineStr">
        <is>
          <t>Tổng điểm KPI thực tế đạt được trong tháng</t>
        </is>
      </c>
      <c r="C6" s="7" t="inlineStr">
        <is>
          <t>50%</t>
        </is>
      </c>
      <c r="D6" s="6" t="inlineStr">
        <is>
          <t>≥ 294 điểm</t>
        </is>
      </c>
      <c r="E6" s="7" t="inlineStr">
        <is>
          <t>Monthly</t>
        </is>
      </c>
      <c r="F6" s="6" t="inlineStr">
        <is>
          <t>Cộng toàn bộ điểm từ các submission đã duyệt</t>
        </is>
      </c>
      <c r="G6" s="7" t="inlineStr">
        <is>
          <t>điểm</t>
        </is>
      </c>
      <c r="H6" s="6" t="inlineStr">
        <is>
          <t>Dashboard KPI sheet</t>
        </is>
      </c>
    </row>
    <row r="7" ht="30" customHeight="1">
      <c r="B7" s="6" t="inlineStr">
        <is>
          <t>Tỷ lệ nội dung được publish đúng lịch đăng</t>
        </is>
      </c>
      <c r="C7" s="7" t="inlineStr">
        <is>
          <t>30%</t>
        </is>
      </c>
      <c r="D7" s="6" t="inlineStr">
        <is>
          <t>≥ 90%</t>
        </is>
      </c>
      <c r="E7" s="7" t="inlineStr">
        <is>
          <t>Monthly</t>
        </is>
      </c>
      <c r="F7" s="6" t="inlineStr">
        <is>
          <t>Số nội dung publish on-time / tổng nội dung cần đăng × 100</t>
        </is>
      </c>
      <c r="G7" s="7" t="inlineStr">
        <is>
          <t>% (số)</t>
        </is>
      </c>
      <c r="H7" s="6" t="inlineStr">
        <is>
          <t>Lịch đăng bài / Dashboard</t>
        </is>
      </c>
    </row>
    <row r="8" ht="30" customHeight="1">
      <c r="B8" s="6" t="inlineStr">
        <is>
          <t>Số lỗi thông tin y tế phát sinh trong tháng</t>
        </is>
      </c>
      <c r="C8" s="7" t="inlineStr">
        <is>
          <t>20%</t>
        </is>
      </c>
      <c r="D8" s="6" t="inlineStr">
        <is>
          <t>0 lỗi / tháng</t>
        </is>
      </c>
      <c r="E8" s="7" t="inlineStr">
        <is>
          <t>Monthly</t>
        </is>
      </c>
      <c r="F8" s="6" t="inlineStr">
        <is>
          <t>Đếm bài bị báo cáo lỗi thông tin y tế cần sửa</t>
        </is>
      </c>
      <c r="G8" s="7" t="inlineStr">
        <is>
          <t>số lượng (cái)</t>
        </is>
      </c>
      <c r="H8" s="6" t="inlineStr">
        <is>
          <t>Review log / Editor report</t>
        </is>
      </c>
    </row>
    <row r="9" ht="30" customHeight="1">
      <c r="A9" s="8" t="inlineStr">
        <is>
          <t>SENIOR
(Tối ưu &amp; cải tiến)</t>
        </is>
      </c>
      <c r="B9" s="9" t="inlineStr">
        <is>
          <t>Tổng điểm KPI thực tế / target tháng</t>
        </is>
      </c>
      <c r="C9" s="10" t="inlineStr">
        <is>
          <t>50%</t>
        </is>
      </c>
      <c r="D9" s="9" t="inlineStr">
        <is>
          <t>≥ 110% (≥ 323đ)</t>
        </is>
      </c>
      <c r="E9" s="10" t="inlineStr">
        <is>
          <t>Monthly</t>
        </is>
      </c>
      <c r="F9" s="9" t="inlineStr">
        <is>
          <t>Điểm thực tế / 294 × 100</t>
        </is>
      </c>
      <c r="G9" s="10" t="inlineStr">
        <is>
          <t>% của target</t>
        </is>
      </c>
      <c r="H9" s="9" t="inlineStr">
        <is>
          <t>Dashboard KPI sheet</t>
        </is>
      </c>
    </row>
    <row r="10" ht="30" customHeight="1">
      <c r="B10" s="9" t="inlineStr">
        <is>
          <t>Engagement rate trung bình các nội dung phụ trách</t>
        </is>
      </c>
      <c r="C10" s="10" t="inlineStr">
        <is>
          <t>35%</t>
        </is>
      </c>
      <c r="D10" s="9" t="inlineStr">
        <is>
          <t>≥ 3%</t>
        </is>
      </c>
      <c r="E10" s="10" t="inlineStr">
        <is>
          <t>Monthly</t>
        </is>
      </c>
      <c r="F10" s="9" t="inlineStr">
        <is>
          <t>(Tổng interactions / tổng reach) × 100 trên toàn bộ nội dung trong tháng</t>
        </is>
      </c>
      <c r="G10" s="10" t="inlineStr">
        <is>
          <t>% (số)</t>
        </is>
      </c>
      <c r="H10" s="9" t="inlineStr">
        <is>
          <t>Social Media Analytics</t>
        </is>
      </c>
    </row>
    <row r="11" ht="30" customHeight="1">
      <c r="B11" s="9" t="inlineStr">
        <is>
          <t>Số format / concept nội dung mới được thử nghiệm và có data</t>
        </is>
      </c>
      <c r="C11" s="10" t="inlineStr">
        <is>
          <t>15%</t>
        </is>
      </c>
      <c r="D11" s="9" t="inlineStr">
        <is>
          <t>≥ 1 cái / tháng</t>
        </is>
      </c>
      <c r="E11" s="10" t="inlineStr">
        <is>
          <t>Monthly</t>
        </is>
      </c>
      <c r="F11" s="9" t="inlineStr">
        <is>
          <t>Đếm format mới có báo cáo performance trong tháng</t>
        </is>
      </c>
      <c r="G11" s="10" t="inlineStr">
        <is>
          <t>số lượng (cái)</t>
        </is>
      </c>
      <c r="H11" s="9" t="inlineStr">
        <is>
          <t>Content experiment log</t>
        </is>
      </c>
    </row>
    <row r="12" ht="30" customHeight="1">
      <c r="A12" s="11" t="inlineStr">
        <is>
          <t>LEAD / MANAGER
(Outcome &amp; Impact)</t>
        </is>
      </c>
      <c r="B12" s="12" t="inlineStr">
        <is>
          <t>Tỷ lệ thành viên team đạt ≥ 100% target KPI tháng</t>
        </is>
      </c>
      <c r="C12" s="13" t="inlineStr">
        <is>
          <t>55%</t>
        </is>
      </c>
      <c r="D12" s="12" t="inlineStr">
        <is>
          <t>≥ 85% thành viên</t>
        </is>
      </c>
      <c r="E12" s="13" t="inlineStr">
        <is>
          <t>Monthly</t>
        </is>
      </c>
      <c r="F12" s="12" t="inlineStr">
        <is>
          <t>Số member đạt target / tổng member × 100</t>
        </is>
      </c>
      <c r="G12" s="13" t="inlineStr">
        <is>
          <t>% thành viên</t>
        </is>
      </c>
      <c r="H12" s="12" t="inlineStr">
        <is>
          <t>Dashboard — member KPI summary</t>
        </is>
      </c>
    </row>
    <row r="13" ht="30" customHeight="1">
      <c r="B13" s="12" t="inlineStr">
        <is>
          <t>Engagement rate trung bình toàn nhóm trong tháng</t>
        </is>
      </c>
      <c r="C13" s="13" t="inlineStr">
        <is>
          <t>30%</t>
        </is>
      </c>
      <c r="D13" s="12" t="inlineStr">
        <is>
          <t>≥ 4%</t>
        </is>
      </c>
      <c r="E13" s="13" t="inlineStr">
        <is>
          <t>Monthly</t>
        </is>
      </c>
      <c r="F13" s="12" t="inlineStr">
        <is>
          <t>(Tổng interactions / tổng reach toàn nhóm) × 100</t>
        </is>
      </c>
      <c r="G13" s="13" t="inlineStr">
        <is>
          <t>% (số)</t>
        </is>
      </c>
      <c r="H13" s="12" t="inlineStr">
        <is>
          <t>Social Media Analytics — tổng nhóm</t>
        </is>
      </c>
    </row>
    <row r="14" ht="30" customHeight="1">
      <c r="B14" s="12" t="inlineStr">
        <is>
          <t>Số R&amp;D log / sáng kiến multimedia được triển khai</t>
        </is>
      </c>
      <c r="C14" s="13" t="inlineStr">
        <is>
          <t>15%</t>
        </is>
      </c>
      <c r="D14" s="12" t="inlineStr">
        <is>
          <t>≥ 2 cái / tháng</t>
        </is>
      </c>
      <c r="E14" s="13" t="inlineStr">
        <is>
          <t>Monthly</t>
        </is>
      </c>
      <c r="F14" s="12" t="inlineStr">
        <is>
          <t>Đếm R&amp;D log status = completed do Leader tạo trong tháng</t>
        </is>
      </c>
      <c r="G14" s="13" t="inlineStr">
        <is>
          <t>số lượng (cái)</t>
        </is>
      </c>
      <c r="H14" s="12" t="inlineStr">
        <is>
          <t>R&amp;D Log — Dashboard</t>
        </is>
      </c>
    </row>
    <row r="16" ht="21.75" customHeight="1">
      <c r="A16" s="3" t="inlineStr">
        <is>
          <t xml:space="preserve">  PHẦN 2 — SCORE CARDS MẪU  |  Kỳ đánh giá: Tháng __/2026</t>
        </is>
      </c>
    </row>
    <row r="18" ht="21.75" customHeight="1">
      <c r="A18" s="14" t="inlineStr">
        <is>
          <t xml:space="preserve">  STAFF  —  Score Card</t>
        </is>
      </c>
    </row>
    <row r="19" ht="15.75" customHeight="1">
      <c r="A19" s="15" t="inlineStr">
        <is>
          <t>Họ tên:</t>
        </is>
      </c>
      <c r="B19" s="16" t="inlineStr">
        <is>
          <t>[Họ tên nhân viên]</t>
        </is>
      </c>
      <c r="C19" s="15" t="inlineStr">
        <is>
          <t>Vị trí:</t>
        </is>
      </c>
      <c r="D19" s="16" t="inlineStr">
        <is>
          <t>STAFF</t>
        </is>
      </c>
      <c r="E19" s="15" t="inlineStr">
        <is>
          <t>Phòng/Nhóm:</t>
        </is>
      </c>
      <c r="F19" s="16" t="inlineStr">
        <is>
          <t>Nhóm Multimedia &amp; Tin nhanh — Long Châu Content</t>
        </is>
      </c>
      <c r="G19" s="15" t="inlineStr">
        <is>
          <t>Kỳ:</t>
        </is>
      </c>
      <c r="H19" s="16" t="inlineStr">
        <is>
          <t>Tháng __/2026</t>
        </is>
      </c>
    </row>
    <row r="20" ht="18" customHeight="1">
      <c r="A20" s="17" t="inlineStr">
        <is>
          <t>STT</t>
        </is>
      </c>
      <c r="B20" s="17" t="inlineStr">
        <is>
          <t>KPI</t>
        </is>
      </c>
      <c r="C20" s="17" t="inlineStr">
        <is>
          <t>Trọng số</t>
        </is>
      </c>
      <c r="D20" s="17" t="inlineStr">
        <is>
          <t>Target (Số)</t>
        </is>
      </c>
      <c r="E20" s="17" t="inlineStr">
        <is>
          <t>Thực tế (Số)</t>
        </is>
      </c>
      <c r="F20" s="17" t="inlineStr">
        <is>
          <t>Achievement %</t>
        </is>
      </c>
      <c r="G20" s="17" t="inlineStr">
        <is>
          <t>Điểm KPI</t>
        </is>
      </c>
      <c r="H20" s="17" t="inlineStr">
        <is>
          <t>Ghi chú</t>
        </is>
      </c>
    </row>
    <row r="21" ht="24" customHeight="1">
      <c r="A21" s="18" t="n">
        <v>1</v>
      </c>
      <c r="B21" s="19" t="inlineStr">
        <is>
          <t>Tổng điểm KPI thực tế (điểm)</t>
        </is>
      </c>
      <c r="C21" s="18" t="n">
        <v>0.5</v>
      </c>
      <c r="D21" s="18" t="n">
        <v>294</v>
      </c>
      <c r="E21" s="18" t="n"/>
      <c r="F21" s="18">
        <f>IF(D21=0,0,MIN(E21/D21*100,120))</f>
        <v/>
      </c>
      <c r="G21" s="18">
        <f>F21*C21</f>
        <v/>
      </c>
      <c r="H21" s="18" t="inlineStr"/>
    </row>
    <row r="22" ht="24" customHeight="1">
      <c r="A22" s="20" t="n">
        <v>2</v>
      </c>
      <c r="B22" s="21" t="inlineStr">
        <is>
          <t>Tỷ lệ publish đúng lịch (%)</t>
        </is>
      </c>
      <c r="C22" s="20" t="n">
        <v>0.3</v>
      </c>
      <c r="D22" s="20" t="n">
        <v>90</v>
      </c>
      <c r="E22" s="20" t="n"/>
      <c r="F22" s="20">
        <f>IF(D22=0,0,MIN(E22/D22*100,120))</f>
        <v/>
      </c>
      <c r="G22" s="20">
        <f>F22*C22</f>
        <v/>
      </c>
      <c r="H22" s="20" t="inlineStr"/>
    </row>
    <row r="23" ht="24" customHeight="1">
      <c r="A23" s="18" t="n">
        <v>3</v>
      </c>
      <c r="B23" s="19" t="inlineStr">
        <is>
          <t>Lỗi thông tin y tế: 0 lỗi = 100đ; mỗi lỗi trừ 20đ</t>
        </is>
      </c>
      <c r="C23" s="18" t="n">
        <v>0.2</v>
      </c>
      <c r="D23" s="18" t="n">
        <v>100</v>
      </c>
      <c r="E23" s="18" t="n"/>
      <c r="F23" s="18">
        <f>IF(D23=0,0,MIN(E23/D23*100,120))</f>
        <v/>
      </c>
      <c r="G23" s="18">
        <f>F23*C23</f>
        <v/>
      </c>
      <c r="H23" s="18" t="inlineStr"/>
    </row>
    <row r="24" ht="21.75" customHeight="1">
      <c r="A24" s="3" t="inlineStr">
        <is>
          <t>TỔNG ĐIỂM</t>
        </is>
      </c>
      <c r="G24" s="22">
        <f>SUM(G21:G23)</f>
        <v/>
      </c>
      <c r="H24" s="23" t="n"/>
    </row>
    <row r="25" ht="21.75" customHeight="1">
      <c r="A25" s="24" t="inlineStr">
        <is>
          <t>XẾP LOẠI ĐÁNH GIÁ</t>
        </is>
      </c>
      <c r="G25" s="25">
        <f>IF(G24&gt;=100,"★  OUTSTANDING",IF(G24&gt;=90,"▲  EXCEED EXPECTATIONS",IF(G24&gt;=80,"✔  MEETS EXPECTATIONS","✘  BELOW EXPECTATIONS")))</f>
        <v/>
      </c>
    </row>
    <row r="26" ht="19.5" customHeight="1">
      <c r="A26" s="26" t="inlineStr">
        <is>
          <t>Ghi chú Manager:</t>
        </is>
      </c>
      <c r="C26" s="27" t="inlineStr"/>
    </row>
    <row r="28" ht="21.75" customHeight="1">
      <c r="A28" s="28" t="inlineStr">
        <is>
          <t xml:space="preserve">  SENIOR  —  Score Card</t>
        </is>
      </c>
    </row>
    <row r="29" ht="15.75" customHeight="1">
      <c r="A29" s="15" t="inlineStr">
        <is>
          <t>Họ tên:</t>
        </is>
      </c>
      <c r="B29" s="16" t="inlineStr">
        <is>
          <t>[Họ tên nhân viên]</t>
        </is>
      </c>
      <c r="C29" s="15" t="inlineStr">
        <is>
          <t>Vị trí:</t>
        </is>
      </c>
      <c r="D29" s="16" t="inlineStr">
        <is>
          <t>SENIOR</t>
        </is>
      </c>
      <c r="E29" s="15" t="inlineStr">
        <is>
          <t>Phòng/Nhóm:</t>
        </is>
      </c>
      <c r="F29" s="16" t="inlineStr">
        <is>
          <t>Nhóm Multimedia &amp; Tin nhanh — Long Châu Content</t>
        </is>
      </c>
      <c r="G29" s="15" t="inlineStr">
        <is>
          <t>Kỳ:</t>
        </is>
      </c>
      <c r="H29" s="16" t="inlineStr">
        <is>
          <t>Tháng __/2026</t>
        </is>
      </c>
    </row>
    <row r="30" ht="18" customHeight="1">
      <c r="A30" s="17" t="inlineStr">
        <is>
          <t>STT</t>
        </is>
      </c>
      <c r="B30" s="17" t="inlineStr">
        <is>
          <t>KPI</t>
        </is>
      </c>
      <c r="C30" s="17" t="inlineStr">
        <is>
          <t>Trọng số</t>
        </is>
      </c>
      <c r="D30" s="17" t="inlineStr">
        <is>
          <t>Target (Số)</t>
        </is>
      </c>
      <c r="E30" s="17" t="inlineStr">
        <is>
          <t>Thực tế (Số)</t>
        </is>
      </c>
      <c r="F30" s="17" t="inlineStr">
        <is>
          <t>Achievement %</t>
        </is>
      </c>
      <c r="G30" s="17" t="inlineStr">
        <is>
          <t>Điểm KPI</t>
        </is>
      </c>
      <c r="H30" s="17" t="inlineStr">
        <is>
          <t>Ghi chú</t>
        </is>
      </c>
    </row>
    <row r="31" ht="24" customHeight="1">
      <c r="A31" s="18" t="n">
        <v>1</v>
      </c>
      <c r="B31" s="19" t="inlineStr">
        <is>
          <t>Tổng điểm KPI thực tế / target (%)</t>
        </is>
      </c>
      <c r="C31" s="18" t="n">
        <v>0.5</v>
      </c>
      <c r="D31" s="18" t="n">
        <v>110</v>
      </c>
      <c r="E31" s="18" t="n"/>
      <c r="F31" s="18">
        <f>IF(D31=0,0,MIN(E31/D31*100,120))</f>
        <v/>
      </c>
      <c r="G31" s="18">
        <f>F31*C31</f>
        <v/>
      </c>
      <c r="H31" s="18" t="inlineStr"/>
    </row>
    <row r="32" ht="24" customHeight="1">
      <c r="A32" s="20" t="n">
        <v>2</v>
      </c>
      <c r="B32" s="21" t="inlineStr">
        <is>
          <t>Engagement rate TB (%)</t>
        </is>
      </c>
      <c r="C32" s="20" t="n">
        <v>0.35</v>
      </c>
      <c r="D32" s="20" t="n">
        <v>3</v>
      </c>
      <c r="E32" s="20" t="n"/>
      <c r="F32" s="20">
        <f>IF(D32=0,0,MIN(E32/D32*100,120))</f>
        <v/>
      </c>
      <c r="G32" s="20">
        <f>F32*C32</f>
        <v/>
      </c>
      <c r="H32" s="20" t="inlineStr"/>
    </row>
    <row r="33" ht="24" customHeight="1">
      <c r="A33" s="18" t="n">
        <v>3</v>
      </c>
      <c r="B33" s="19" t="inlineStr">
        <is>
          <t>Số format mới có performance data (cái)</t>
        </is>
      </c>
      <c r="C33" s="18" t="n">
        <v>0.15</v>
      </c>
      <c r="D33" s="18" t="n">
        <v>1</v>
      </c>
      <c r="E33" s="18" t="n"/>
      <c r="F33" s="18">
        <f>IF(D33=0,0,MIN(E33/D33*100,120))</f>
        <v/>
      </c>
      <c r="G33" s="18">
        <f>F33*C33</f>
        <v/>
      </c>
      <c r="H33" s="18" t="inlineStr"/>
    </row>
    <row r="34" ht="21.75" customHeight="1">
      <c r="A34" s="3" t="inlineStr">
        <is>
          <t>TỔNG ĐIỂM</t>
        </is>
      </c>
      <c r="G34" s="22">
        <f>SUM(G31:G33)</f>
        <v/>
      </c>
      <c r="H34" s="23" t="n"/>
    </row>
    <row r="35" ht="21.75" customHeight="1">
      <c r="A35" s="24" t="inlineStr">
        <is>
          <t>XẾP LOẠI ĐÁNH GIÁ</t>
        </is>
      </c>
      <c r="G35" s="25">
        <f>IF(G34&gt;=100,"★  OUTSTANDING",IF(G34&gt;=90,"▲  EXCEED EXPECTATIONS",IF(G34&gt;=80,"✔  MEETS EXPECTATIONS","✘  BELOW EXPECTATIONS")))</f>
        <v/>
      </c>
    </row>
    <row r="36" ht="19.5" customHeight="1">
      <c r="A36" s="26" t="inlineStr">
        <is>
          <t>Ghi chú Manager:</t>
        </is>
      </c>
      <c r="C36" s="27" t="inlineStr"/>
    </row>
    <row r="38" ht="21.75" customHeight="1">
      <c r="A38" s="29" t="inlineStr">
        <is>
          <t xml:space="preserve">  LEAD / MANAGER  —  Score Card</t>
        </is>
      </c>
    </row>
    <row r="39" ht="15.75" customHeight="1">
      <c r="A39" s="15" t="inlineStr">
        <is>
          <t>Họ tên:</t>
        </is>
      </c>
      <c r="B39" s="16" t="inlineStr">
        <is>
          <t>[Họ tên nhân viên]</t>
        </is>
      </c>
      <c r="C39" s="15" t="inlineStr">
        <is>
          <t>Vị trí:</t>
        </is>
      </c>
      <c r="D39" s="16" t="inlineStr">
        <is>
          <t>LEAD</t>
        </is>
      </c>
      <c r="E39" s="15" t="inlineStr">
        <is>
          <t>Phòng/Nhóm:</t>
        </is>
      </c>
      <c r="F39" s="16" t="inlineStr">
        <is>
          <t>Nhóm Multimedia &amp; Tin nhanh — Long Châu Content</t>
        </is>
      </c>
      <c r="G39" s="15" t="inlineStr">
        <is>
          <t>Kỳ:</t>
        </is>
      </c>
      <c r="H39" s="16" t="inlineStr">
        <is>
          <t>Tháng __/2026</t>
        </is>
      </c>
    </row>
    <row r="40" ht="18" customHeight="1">
      <c r="A40" s="17" t="inlineStr">
        <is>
          <t>STT</t>
        </is>
      </c>
      <c r="B40" s="17" t="inlineStr">
        <is>
          <t>KPI</t>
        </is>
      </c>
      <c r="C40" s="17" t="inlineStr">
        <is>
          <t>Trọng số</t>
        </is>
      </c>
      <c r="D40" s="17" t="inlineStr">
        <is>
          <t>Target (Số)</t>
        </is>
      </c>
      <c r="E40" s="17" t="inlineStr">
        <is>
          <t>Thực tế (Số)</t>
        </is>
      </c>
      <c r="F40" s="17" t="inlineStr">
        <is>
          <t>Achievement %</t>
        </is>
      </c>
      <c r="G40" s="17" t="inlineStr">
        <is>
          <t>Điểm KPI</t>
        </is>
      </c>
      <c r="H40" s="17" t="inlineStr">
        <is>
          <t>Ghi chú</t>
        </is>
      </c>
    </row>
    <row r="41" ht="24" customHeight="1">
      <c r="A41" s="18" t="n">
        <v>1</v>
      </c>
      <c r="B41" s="19" t="inlineStr">
        <is>
          <t>Tỷ lệ thành viên đạt target KPI (%)</t>
        </is>
      </c>
      <c r="C41" s="18" t="n">
        <v>0.55</v>
      </c>
      <c r="D41" s="18" t="n">
        <v>85</v>
      </c>
      <c r="E41" s="18" t="n"/>
      <c r="F41" s="18">
        <f>IF(D41=0,0,MIN(E41/D41*100,120))</f>
        <v/>
      </c>
      <c r="G41" s="18">
        <f>F41*C41</f>
        <v/>
      </c>
      <c r="H41" s="18" t="inlineStr"/>
    </row>
    <row r="42" ht="24" customHeight="1">
      <c r="A42" s="20" t="n">
        <v>2</v>
      </c>
      <c r="B42" s="21" t="inlineStr">
        <is>
          <t>Engagement rate TB toàn nhóm (%)</t>
        </is>
      </c>
      <c r="C42" s="20" t="n">
        <v>0.3</v>
      </c>
      <c r="D42" s="20" t="n">
        <v>4</v>
      </c>
      <c r="E42" s="20" t="n"/>
      <c r="F42" s="20">
        <f>IF(D42=0,0,MIN(E42/D42*100,120))</f>
        <v/>
      </c>
      <c r="G42" s="20">
        <f>F42*C42</f>
        <v/>
      </c>
      <c r="H42" s="20" t="inlineStr"/>
    </row>
    <row r="43" ht="24" customHeight="1">
      <c r="A43" s="18" t="n">
        <v>3</v>
      </c>
      <c r="B43" s="19" t="inlineStr">
        <is>
          <t>Số R&amp;D log triển khai trong tháng (cái)</t>
        </is>
      </c>
      <c r="C43" s="18" t="n">
        <v>0.15</v>
      </c>
      <c r="D43" s="18" t="n">
        <v>2</v>
      </c>
      <c r="E43" s="18" t="n"/>
      <c r="F43" s="18">
        <f>IF(D43=0,0,MIN(E43/D43*100,120))</f>
        <v/>
      </c>
      <c r="G43" s="18">
        <f>F43*C43</f>
        <v/>
      </c>
      <c r="H43" s="18" t="inlineStr"/>
    </row>
    <row r="44" ht="21.75" customHeight="1">
      <c r="A44" s="3" t="inlineStr">
        <is>
          <t>TỔNG ĐIỂM</t>
        </is>
      </c>
      <c r="G44" s="22">
        <f>SUM(G41:G43)</f>
        <v/>
      </c>
      <c r="H44" s="23" t="n"/>
    </row>
    <row r="45" ht="21.75" customHeight="1">
      <c r="A45" s="24" t="inlineStr">
        <is>
          <t>XẾP LOẠI ĐÁNH GIÁ</t>
        </is>
      </c>
      <c r="G45" s="25">
        <f>IF(G44&gt;=100,"★  OUTSTANDING",IF(G44&gt;=90,"▲  EXCEED EXPECTATIONS",IF(G44&gt;=80,"✔  MEETS EXPECTATIONS","✘  BELOW EXPECTATIONS")))</f>
        <v/>
      </c>
    </row>
    <row r="46" ht="19.5" customHeight="1">
      <c r="A46" s="26" t="inlineStr">
        <is>
          <t>Ghi chú Manager:</t>
        </is>
      </c>
      <c r="C46" s="27" t="inlineStr"/>
    </row>
  </sheetData>
  <mergeCells count="25">
    <mergeCell ref="A12:A14"/>
    <mergeCell ref="A36:B36"/>
    <mergeCell ref="A1:H1"/>
    <mergeCell ref="C46:H46"/>
    <mergeCell ref="C36:H36"/>
    <mergeCell ref="A16:H16"/>
    <mergeCell ref="A46:B46"/>
    <mergeCell ref="A35:F35"/>
    <mergeCell ref="A9:A11"/>
    <mergeCell ref="A18:H18"/>
    <mergeCell ref="A26:B26"/>
    <mergeCell ref="A44:F44"/>
    <mergeCell ref="A2:H2"/>
    <mergeCell ref="A34:F34"/>
    <mergeCell ref="G45:H45"/>
    <mergeCell ref="A6:A8"/>
    <mergeCell ref="A24:F24"/>
    <mergeCell ref="A4:H4"/>
    <mergeCell ref="G35:H35"/>
    <mergeCell ref="A38:H38"/>
    <mergeCell ref="A45:F45"/>
    <mergeCell ref="G25:H25"/>
    <mergeCell ref="A28:H28"/>
    <mergeCell ref="C26:H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2026-05-31T15:06:47Z</dcterms:created>
  <dcterms:modified xmlns:dcterms="http://purl.org/dc/terms/" xmlns:xsi="http://www.w3.org/2001/XMLSchema-instance" xsi:type="dcterms:W3CDTF">2026-05-31T15:06:47Z</dcterms:modified>
</cp:coreProperties>
</file>