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KPI THEO NHÓM" sheetId="2" state="visible" r:id="rId2"/>
    <sheet xmlns:r="http://schemas.openxmlformats.org/officeDocument/2006/relationships" name="BẢNG ĐIỂM QUY ĐỔI" sheetId="3" state="visible" r:id="rId3"/>
    <sheet xmlns:r="http://schemas.openxmlformats.org/officeDocument/2006/relationships" name="PHIẾU ĐÁNH GI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A1A1A"/>
      <sz val="9"/>
    </font>
    <font>
      <name val="Arial"/>
      <color rgb="00000000"/>
      <sz val="9"/>
    </font>
    <font>
      <name val="Arial"/>
      <i val="1"/>
      <color rgb="005D4037"/>
      <sz val="9"/>
    </font>
    <font>
      <name val="Arial"/>
      <b val="1"/>
      <color rgb="00FFFFFF"/>
      <sz val="14"/>
    </font>
    <font>
      <name val="Arial"/>
      <b val="1"/>
      <color rgb="001B2A4A"/>
      <sz val="10"/>
    </font>
    <font>
      <name val="Arial"/>
      <b val="1"/>
      <color rgb="001A1A1A"/>
      <sz val="9"/>
    </font>
    <font>
      <name val="Arial"/>
      <b val="1"/>
      <color rgb="001565C0"/>
      <sz val="10"/>
    </font>
    <font>
      <name val="Arial"/>
      <color rgb="00555555"/>
      <sz val="9"/>
    </font>
    <font>
      <name val="Arial"/>
      <color rgb="00000000"/>
      <sz val="10"/>
    </font>
    <font>
      <name val="Arial"/>
      <color rgb="00444444"/>
      <sz val="10"/>
    </font>
    <font>
      <name val="Arial"/>
      <b val="1"/>
      <color rgb="00E65100"/>
      <sz val="12"/>
    </font>
    <font>
      <name val="Arial"/>
      <b val="1"/>
      <color rgb="002E7D32"/>
      <sz val="11"/>
    </font>
    <font>
      <name val="Arial"/>
      <b val="1"/>
      <color rgb="00FFFFFF"/>
      <sz val="12"/>
    </font>
    <font>
      <name val="Arial"/>
      <b val="1"/>
      <color rgb="001A1A1A"/>
      <sz val="13"/>
    </font>
    <font>
      <name val="Arial"/>
      <color rgb="00FFFFFF"/>
      <sz val="10"/>
    </font>
    <font>
      <name val="Arial"/>
      <color rgb="00FFFFFF"/>
      <sz val="9"/>
    </font>
  </fonts>
  <fills count="2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FFF8E1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BE9E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FFD700"/>
      </patternFill>
    </fill>
    <fill>
      <patternFill patternType="solid">
        <fgColor rgb="0037474F"/>
      </patternFill>
    </fill>
    <fill>
      <patternFill patternType="solid">
        <fgColor rgb="00F57F17"/>
      </patternFill>
    </fill>
    <fill>
      <patternFill patternType="solid">
        <fgColor rgb="00C62828"/>
      </patternFill>
    </fill>
    <fill>
      <patternFill patternType="solid">
        <fgColor rgb="00212121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26" customWidth="1" min="4" max="4"/>
    <col width="22" customWidth="1" min="5" max="5"/>
    <col width="20" customWidth="1" min="6" max="6"/>
    <col width="20" customWidth="1" min="7" max="7"/>
    <col width="18" customWidth="1" min="8" max="8"/>
    <col width="24" customWidth="1" min="9" max="9"/>
    <col width="28" customWidth="1" min="10" max="10"/>
    <col width="14" customWidth="1" min="11" max="11"/>
  </cols>
  <sheetData>
    <row r="1" ht="36" customHeight="1">
      <c r="A1" s="1" t="inlineStr">
        <is>
          <t>KPI FRAMEWORK THEO TẦNG &amp; VỊ TRÍ — LONG CHÂU CONTENT TEAM</t>
        </is>
      </c>
    </row>
    <row r="2" ht="20" customHeight="1">
      <c r="A2" s="2" t="inlineStr">
        <is>
          <t>Áp dụng từ: 2026 | Cập nhật bởi: Manager | Mục đích: Thước đo đánh giá nhân viên hàng tháng</t>
        </is>
      </c>
    </row>
    <row r="3" ht="8" customHeight="1"/>
    <row r="4" ht="32" customHeight="1">
      <c r="A4" s="3" t="inlineStr"/>
      <c r="B4" s="3" t="inlineStr">
        <is>
          <t>TẦNG</t>
        </is>
      </c>
      <c r="C4" s="3" t="inlineStr">
        <is>
          <t>MÔ TẢ TRIẾT LÝ</t>
        </is>
      </c>
      <c r="D4" s="3" t="inlineStr">
        <is>
          <t>SẢN LƯỢNG (40%)</t>
        </is>
      </c>
      <c r="E4" s="3" t="inlineStr">
        <is>
          <t>CHẤT LƯỢNG (20%)</t>
        </is>
      </c>
      <c r="F4" s="3" t="inlineStr">
        <is>
          <t>THÁI ĐỘ (15%)</t>
        </is>
      </c>
      <c r="G4" s="3" t="inlineStr">
        <is>
          <t>TIẾN ĐỘ (15%)</t>
        </is>
      </c>
      <c r="H4" s="3" t="inlineStr">
        <is>
          <t>CHUYÊN CẦN (10%)</t>
        </is>
      </c>
      <c r="I4" s="3" t="inlineStr">
        <is>
          <t>R&amp;D / QUẢN LÝ</t>
        </is>
      </c>
      <c r="J4" s="3" t="inlineStr">
        <is>
          <t>ĐIỀU KIỆN LÊN TẦNG</t>
        </is>
      </c>
      <c r="K4" s="3" t="inlineStr">
        <is>
          <t>XẾP LOẠI</t>
        </is>
      </c>
    </row>
    <row r="5" ht="110" customHeight="1">
      <c r="A5" s="4" t="inlineStr"/>
      <c r="B5" s="5" t="inlineStr">
        <is>
          <t>⚡ STAFF
(Làm đúng &amp; chuẩn)</t>
        </is>
      </c>
      <c r="C5" s="6" t="inlineStr">
        <is>
          <t>Thực hiện đúng quy trình, đúng chuẩn chất lượng. Tập trung hoàn thành định mức cơ bản.</t>
        </is>
      </c>
      <c r="D5" s="6" t="inlineStr">
        <is>
          <t>🎯 Target: 294 điểm/tháng
(= 196h × 1.5 điểm/h)
Hoặc đạt ≥ 90% target được giao</t>
        </is>
      </c>
      <c r="E5" s="6" t="inlineStr">
        <is>
          <t>Điểm chất lượng ≥ 3.0/5.0
Spot-check (20% bài): đạt chuẩn
Không có bài bị trả về &gt; 2 lần/tháng</t>
        </is>
      </c>
      <c r="F5" s="6" t="inlineStr">
        <is>
          <t>Tuân thủ quy trình
Phản hồi nhanh (&lt; 4h)
Chủ động báo cáo khi gặp khó khăn</t>
        </is>
      </c>
      <c r="G5" s="6" t="inlineStr">
        <is>
          <t>Nộp KPI đúng hạn ≥ 90%
Không trễ deadline &gt; 1 ngày
Báo trước khi có rủi ro trễ</t>
        </is>
      </c>
      <c r="H5" s="6" t="inlineStr">
        <is>
          <t>Nghỉ ≤ 2 ngày/tháng
(có phép)
Không vắng mặt không lý do</t>
        </is>
      </c>
      <c r="I5" s="6" t="inlineStr">
        <is>
          <t>—</t>
        </is>
      </c>
      <c r="J5" s="6" t="inlineStr">
        <is>
          <t>Đạt STAFF ≥ 3 tháng liên tiếp
Điểm tổng ≥ 3.5/5.0
Quality score ≥ 3.5/5.0 liên tục</t>
        </is>
      </c>
      <c r="K5" s="7" t="inlineStr">
        <is>
          <t>A: ≥ 110% target
B: 90–110%
C: 70–90%
D: &lt; 70%</t>
        </is>
      </c>
    </row>
    <row r="6" ht="110" customHeight="1">
      <c r="A6" s="8" t="inlineStr"/>
      <c r="B6" s="9" t="inlineStr">
        <is>
          <t>🚀 SENIOR
(Tối ưu &amp; cải tiến)</t>
        </is>
      </c>
      <c r="C6" s="10" t="inlineStr">
        <is>
          <t>Vượt định mức, tối ưu chất lượng. Đề xuất cải tiến và hỗ trợ đồng đội. Làm việc độc lập.</t>
        </is>
      </c>
      <c r="D6" s="10" t="inlineStr">
        <is>
          <t>🎯 Target: 110–125% (323–368 điểm)
Hoặc đóng góp task có điểm cao:
- Longform ≥ 2 bài/tháng
- Bệnh lý/Thành phần ≥ 30 link/tháng</t>
        </is>
      </c>
      <c r="E6" s="10" t="inlineStr">
        <is>
          <t>Điểm chất lượng ≥ 4.0/5.0
Spot-check: ≥ 4.0/5.0 trung bình
Bài được dùng làm mẫu ≥ 1/tháng</t>
        </is>
      </c>
      <c r="F6" s="10" t="inlineStr">
        <is>
          <t>Chủ động đề xuất ý tưởng (≥ 1/tháng)
Hỗ trợ Staff khi cần
Tham gia đầy đủ họp team</t>
        </is>
      </c>
      <c r="G6" s="10" t="inlineStr">
        <is>
          <t>Nộp KPI đúng hạn ≥ 95%
Hoàn thành task trước deadline
Không cần nhắc deadline</t>
        </is>
      </c>
      <c r="H6" s="10" t="inlineStr">
        <is>
          <t>Nghỉ ≤ 1 ngày/tháng
Luôn thông báo trước
Sắp xếp người bàn giao khi nghỉ</t>
        </is>
      </c>
      <c r="I6" s="10" t="inlineStr">
        <is>
          <t>Đề xuất ≥ 1 cải tiến quy trình/tháng
Thử nghiệm format/tool mới
Viết guideline cho 1 loại task</t>
        </is>
      </c>
      <c r="J6" s="10" t="inlineStr">
        <is>
          <t>Đạt SENIOR ≥ 4 tháng liên tiếp
Điểm tổng ≥ 4.0/5.0
Có ít nhất 2 sáng kiến được áp dụng
Được Manager đề xuất</t>
        </is>
      </c>
      <c r="K6" s="11" t="inlineStr">
        <is>
          <t>A: ≥ 125% target
B: 110–125%
C: 95–110%
D: &lt; 95%</t>
        </is>
      </c>
    </row>
    <row r="7" ht="110" customHeight="1">
      <c r="A7" s="12" t="inlineStr"/>
      <c r="B7" s="13" t="inlineStr">
        <is>
          <t>👑 LEAD / MANAGER
(Outcome &amp; Impact)</t>
        </is>
      </c>
      <c r="C7" s="14" t="inlineStr">
        <is>
          <t>Dẫn dắt team, đảm bảo KPI tổng thể, phát triển năng lực đội nhóm. Chịu trách nhiệm về output.</t>
        </is>
      </c>
      <c r="D7" s="14" t="inlineStr">
        <is>
          <t>🎯 Sản xuất: 60% target member
= ~176 điểm sản xuất/tháng
Quản lý: 40% thời gian
- Spot-check 20% bài của team
- Review + duyệt KPI members
- Báo cáo tuần/tháng</t>
        </is>
      </c>
      <c r="E7" s="14" t="inlineStr">
        <is>
          <t>Quality team ≥ 3.8/5.0 TB
Tỷ lệ bài đạt chuẩn ≥ 85%
Không có bài vi phạm nghiêm trọng
Spot-check đầy đủ 20% submission</t>
        </is>
      </c>
      <c r="F7" s="14" t="inlineStr">
        <is>
          <t>Chủ động xử lý vấn đề
Giao tiếp rõ ràng với Manager
Fair &amp; transparent khi đánh giá
Coaching members thường xuyên</t>
        </is>
      </c>
      <c r="G7" s="14" t="inlineStr">
        <is>
          <t>Báo cáo tuần đúng hạn 100%
Duyệt KPI members trong 24h
Hoàn thành spot-check đúng kỳ
Deadline project ≥ 95%</t>
        </is>
      </c>
      <c r="H7" s="14" t="inlineStr">
        <is>
          <t>Nghỉ ≤ 1 ngày/tháng
Bàn giao rõ ràng khi vắng mặt
Có kế hoạch dự phòng cho team</t>
        </is>
      </c>
      <c r="I7" s="14" t="inlineStr">
        <is>
          <t>Ghi nhận ≥ 2 R&amp;D Log/tháng
Triển khai 1 cải tiến/tháng
Training 1 session/tháng cho team
Báo cáo impact cải tiến</t>
        </is>
      </c>
      <c r="J7" s="14" t="inlineStr">
        <is>
          <t>Lead: 12 tháng xuất sắc
KPI team ≥ 95% target 6/12 tháng
Phát triển ≥ 1 member lên Senior
Manager đề xuất + Board phê duyệt</t>
        </is>
      </c>
      <c r="K7" s="15" t="inlineStr">
        <is>
          <t>A: Team ≥ 105% target
B: Team 95–105%
C: Team 80–95%
D: Team &lt; 80%</t>
        </is>
      </c>
    </row>
    <row r="8" ht="10" customHeight="1"/>
    <row r="9" ht="28" customHeight="1">
      <c r="A9" s="16" t="inlineStr">
        <is>
          <t>📌 Ghi chú: Điểm tổng = Sản lượng×40% + Chất lượng×20% + Thái độ×15% + Tiến độ×15% + Chuyên cần×10%  |  Target sản lượng: 294 điểm/tháng (196h × 1.5đ/h)  |  Leader sản xuất: 176 điểm (60%)  |  Spot-check: 20% số bài mỗi tháng</t>
        </is>
      </c>
    </row>
  </sheetData>
  <mergeCells count="3">
    <mergeCell ref="A2:K2"/>
    <mergeCell ref="A1:K1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30" customWidth="1" min="4" max="4"/>
    <col width="20" customWidth="1" min="5" max="5"/>
    <col width="20" customWidth="1" min="6" max="6"/>
    <col width="18" customWidth="1" min="7" max="7"/>
    <col width="22" customWidth="1" min="8" max="8"/>
    <col width="20" customWidth="1" min="9" max="9"/>
    <col width="16" customWidth="1" min="10" max="10"/>
  </cols>
  <sheetData>
    <row r="1" ht="30" customHeight="1">
      <c r="A1" s="17" t="inlineStr">
        <is>
          <t>CHỈ TIÊU KPI CHI TIẾT THEO NHÓM &amp; TẦNG</t>
        </is>
      </c>
    </row>
    <row r="2" ht="18" customHeight="1">
      <c r="A2" s="2" t="inlineStr">
        <is>
          <t>3 Nhóm: Bài viết | Sản phẩm | Multimedia &amp; Tin nhanh  ×  3 Tầng: Staff | Senior | Lead</t>
        </is>
      </c>
    </row>
    <row r="3" ht="28" customHeight="1">
      <c r="A3" s="3" t="inlineStr">
        <is>
          <t>NHÓM TEAM</t>
        </is>
      </c>
      <c r="B3" s="3" t="inlineStr">
        <is>
          <t>TẦNG</t>
        </is>
      </c>
      <c r="C3" s="3" t="inlineStr">
        <is>
          <t>LOẠI ĐẦU VIỆC CHÍNH</t>
        </is>
      </c>
      <c r="D3" s="3" t="inlineStr">
        <is>
          <t>CHỈ TIÊU SẢN LƯỢNG</t>
        </is>
      </c>
      <c r="E3" s="3" t="inlineStr">
        <is>
          <t>ĐIỂM QUY ĐỔI (REF)</t>
        </is>
      </c>
      <c r="F3" s="3" t="inlineStr">
        <is>
          <t>CHỈ TIÊU CHẤT LƯỢNG</t>
        </is>
      </c>
      <c r="G3" s="3" t="inlineStr">
        <is>
          <t>CHỈ TIÊU TIẾN ĐỘ</t>
        </is>
      </c>
      <c r="H3" s="3" t="inlineStr">
        <is>
          <t>KỸ NĂNG YÊU CẦU</t>
        </is>
      </c>
      <c r="I3" s="3" t="inlineStr">
        <is>
          <t>BONUS KPI</t>
        </is>
      </c>
      <c r="J3" s="3" t="inlineStr">
        <is>
          <t>MỨC LƯƠNG THƯỞNG REF</t>
        </is>
      </c>
    </row>
    <row r="4" ht="100" customHeight="1">
      <c r="A4" s="18" t="inlineStr">
        <is>
          <t>📝 BÀI VIẾT</t>
        </is>
      </c>
      <c r="B4" s="19" t="inlineStr">
        <is>
          <t>STAFF</t>
        </is>
      </c>
      <c r="C4" s="6" t="inlineStr">
        <is>
          <t>SEO / Trend / Ngành hàng / MKT
Bài AI hỗ trợ
Bệnh lý - Thành phần (cơ bản)</t>
        </is>
      </c>
      <c r="D4" s="6" t="inlineStr">
        <is>
          <t>≥ 294 điểm/tháng
• SEO/Trend: ≥ 180 link/tháng
• Bệnh lý: ≥ 20 link/tháng
• Bài AI: ≥ 30 link/tháng</t>
        </is>
      </c>
      <c r="E4" s="6" t="inlineStr">
        <is>
          <t>SEO/Trend: 0.75đ/link
Bệnh lý/T.phần: 1.2đ/link
Bài AI: 1.0đ/link
Longform: 12đ/bài</t>
        </is>
      </c>
      <c r="F4" s="6" t="inlineStr">
        <is>
          <t>Quality score ≥ 3.0/5.0
Không có bài vi phạm
SEO đúng chuẩn on-page</t>
        </is>
      </c>
      <c r="G4" s="6" t="inlineStr">
        <is>
          <t>Nộp KPI daily
Không trễ &gt; 1 ngày
Báo trước nếu có issue</t>
        </is>
      </c>
      <c r="H4" s="6" t="inlineStr">
        <is>
          <t>Kỹ năng SEO cơ bản
Nghiên cứu từ khóa
Viết chuẩn y tế</t>
        </is>
      </c>
      <c r="I4" s="6" t="inlineStr">
        <is>
          <t>+5% nếu ≥ 110% target
Bonus bài được Editor khen</t>
        </is>
      </c>
      <c r="J4" s="6" t="inlineStr">
        <is>
          <t>Tham khảo bảng lương</t>
        </is>
      </c>
    </row>
    <row r="5" ht="100" customHeight="1">
      <c r="A5" s="18" t="inlineStr">
        <is>
          <t>📝 BÀI VIẾT</t>
        </is>
      </c>
      <c r="B5" s="20" t="inlineStr">
        <is>
          <t>SENIOR</t>
        </is>
      </c>
      <c r="C5" s="10" t="inlineStr">
        <is>
          <t>SEO chuyên sâu / Longform
Bệnh lý phức tạp / Thuốc gốc
Trend &amp; Ngành hàng cao cấp</t>
        </is>
      </c>
      <c r="D5" s="10" t="inlineStr">
        <is>
          <t>≥ 323 điểm/tháng (110%)
• Longform: ≥ 2 bài/tháng (12đ)
• Bệnh lý chuyên sâu: ≥ 30 link
• Tổng link ≥ 200/tháng</t>
        </is>
      </c>
      <c r="E5" s="10" t="inlineStr">
        <is>
          <t>Longform: 12đ/bài
Bệnh lý/Thuốc gốc: 1.2đ/link
SEO chuyên sâu: 0.75đ/link</t>
        </is>
      </c>
      <c r="F5" s="10" t="inlineStr">
        <is>
          <t>Quality ≥ 4.0/5.0
Bài làm mẫu ≥ 1/tháng
Spot-check ≥ 4.0/5.0 TB</t>
        </is>
      </c>
      <c r="G5" s="10" t="inlineStr">
        <is>
          <t>Hoàn thành trước deadline
Chủ động xử lý task khó
Không cần nhắc</t>
        </is>
      </c>
      <c r="H5" s="10" t="inlineStr">
        <is>
          <t>Nghiên cứu chuyên sâu y tế
Viết Longform chuẩn chuyên gia
SEO off-page cơ bản
Guideline writing</t>
        </is>
      </c>
      <c r="I5" s="10" t="inlineStr">
        <is>
          <t>+10% nếu ≥ 125% target
+Bonus longform chất lượng cao
Bonus R&amp;D được áp dụng</t>
        </is>
      </c>
      <c r="J5" s="10" t="inlineStr">
        <is>
          <t>Tham khảo bảng lương</t>
        </is>
      </c>
    </row>
    <row r="6" ht="100" customHeight="1">
      <c r="A6" s="18" t="inlineStr">
        <is>
          <t>📝 BÀI VIẾT</t>
        </is>
      </c>
      <c r="B6" s="21" t="inlineStr">
        <is>
          <t>LEAD</t>
        </is>
      </c>
      <c r="C6" s="14" t="inlineStr">
        <is>
          <t>Review &amp; duyệt bài team
Spot-check 20% submissions
Planning content tháng
Training members</t>
        </is>
      </c>
      <c r="D6" s="14" t="inlineStr">
        <is>
          <t>Sản xuất: ≥ 176đ (~60%)
Review: 100% spot-check đúng hạn
Planning: nộp plan đầu tháng
Báo cáo tuần: đúng hạn 100%</t>
        </is>
      </c>
      <c r="E6" s="14" t="inlineStr">
        <is>
          <t>Sản xuất: theo loại task
Quản lý: 40% thời gian
Không tính điểm quản lý
vào KPI sản lượng</t>
        </is>
      </c>
      <c r="F6" s="14" t="inlineStr">
        <is>
          <t>Quality team ≥ 3.8/5.0 TB
Tỷ lệ đạt chuẩn ≥ 85%
Không có bài vi phạm nghiêm trọng</t>
        </is>
      </c>
      <c r="G6" s="14" t="inlineStr">
        <is>
          <t>Duyệt KPI trong 24h
Báo cáo tuần đúng thứ 2
Spot-check xong trước ngày 25</t>
        </is>
      </c>
      <c r="H6" s="14" t="inlineStr">
        <is>
          <t>Quản lý team content
Coaching kỹ thuật SEO
Lên content plan chiến lược
Xử lý khủng hoảng nội dung</t>
        </is>
      </c>
      <c r="I6" s="14" t="inlineStr">
        <is>
          <t>Bonus nếu team ≥ 105% target
R&amp;D log được áp dụng: +bonus
Member lên tầng: +điểm thành tích</t>
        </is>
      </c>
      <c r="J6" s="14" t="inlineStr">
        <is>
          <t>Tham khảo bảng lương</t>
        </is>
      </c>
    </row>
    <row r="7" ht="100" customHeight="1">
      <c r="A7" s="22" t="inlineStr">
        <is>
          <t>🛍️ SẢN PHẨM</t>
        </is>
      </c>
      <c r="B7" s="19" t="inlineStr">
        <is>
          <t>STAFF</t>
        </is>
      </c>
      <c r="C7" s="6" t="inlineStr">
        <is>
          <t>Viết mô tả chi tiết
Cập nhật thông tin sản phẩm
Listing Image (hãng)
Duyệt mô tả / thành phần</t>
        </is>
      </c>
      <c r="D7" s="6" t="inlineStr">
        <is>
          <t>≥ 294 điểm/tháng
• Viết mô tả: ≥ 60 sản phẩm/tháng
• Cập nhật thông tin: ≥ 200 SP
• Listing Image: ≥ 30 SP
• FAQ/Trực ban: theo yêu cầu</t>
        </is>
      </c>
      <c r="E7" s="6" t="inlineStr">
        <is>
          <t>Viết mô tả chi tiết: 3đ/SP
Duyệt thành phần: 1.5đ/SP
Cập nhật thông tin: 0.5đ/SP
Listing Image (hãng): 3đ/SP
Tối ưu sản phẩm đơn giản: 0.5đ</t>
        </is>
      </c>
      <c r="F7" s="6" t="inlineStr">
        <is>
          <t>Thông tin sản phẩm chính xác 100%
Không có lỗi sai thành phần/giá
Format đúng chuẩn template</t>
        </is>
      </c>
      <c r="G7" s="6" t="inlineStr">
        <is>
          <t>Nộp KPI đúng deadline
Upload sản phẩm đúng lịch
Báo cáo issue ngay khi phát sinh</t>
        </is>
      </c>
      <c r="H7" s="6" t="inlineStr">
        <is>
          <t>Đọc hiểu thành phần dược phẩm
Viết chuẩn template sản phẩm
Sử dụng thành thạo CMS</t>
        </is>
      </c>
      <c r="I7" s="6" t="inlineStr">
        <is>
          <t>+5% nếu ≥ 110% target
Bonus nếu zero lỗi sai thông tin trong tháng</t>
        </is>
      </c>
      <c r="J7" s="6" t="inlineStr">
        <is>
          <t>Tham khảo bảng lương</t>
        </is>
      </c>
    </row>
    <row r="8" ht="100" customHeight="1">
      <c r="A8" s="22" t="inlineStr">
        <is>
          <t>🛍️ SẢN PHẨM</t>
        </is>
      </c>
      <c r="B8" s="20" t="inlineStr">
        <is>
          <t>SENIOR</t>
        </is>
      </c>
      <c r="C8" s="10" t="inlineStr">
        <is>
          <t>Tối ưu sản phẩm chi tiết
Viết mô tả chuyên sâu (hãng)
Thương hiệu / Brand content
Quản lý cộng tác viên (phụ)</t>
        </is>
      </c>
      <c r="D8" s="10" t="inlineStr">
        <is>
          <t>≥ 323 điểm/tháng (110%)
• Tối ưu chi tiết: ≥ 40 SP/tháng
• Thương hiệu: ≥ 10 SP/tháng
• Đề xuất 1 cải tiến template/tháng</t>
        </is>
      </c>
      <c r="E8" s="10" t="inlineStr">
        <is>
          <t>Tối ưu SP chi tiết: 1đ/SP
Thương hiệu: 1đ/SP
Viết mô tả chi tiết: 3đ/SP
Quản lý CTV: 24đ/tháng</t>
        </is>
      </c>
      <c r="F8" s="10" t="inlineStr">
        <is>
          <t>Accuracy sản phẩm 100%
Zero lỗi thông tin sai
Sản phẩm rank tốt trên site</t>
        </is>
      </c>
      <c r="G8" s="10" t="inlineStr">
        <is>
          <t>Không cần nhắc deadline
Hoàn thành trước hạn thường xuyên
Tự chủ động lấy task tiếp theo</t>
        </is>
      </c>
      <c r="H8" s="10" t="inlineStr">
        <is>
          <t>Copywriting thuyết phục
Hiểu sâu ngành dược/TPCN
Tối ưu conversion rate
Quản lý cộng tác viên</t>
        </is>
      </c>
      <c r="I8" s="10" t="inlineStr">
        <is>
          <t>+10% nếu ≥ 125% target
Bonus nếu SP được brand khen
Bonus cải tiến template được dùng</t>
        </is>
      </c>
      <c r="J8" s="10" t="inlineStr">
        <is>
          <t>Tham khảo bảng lương</t>
        </is>
      </c>
    </row>
    <row r="9" ht="100" customHeight="1">
      <c r="A9" s="22" t="inlineStr">
        <is>
          <t>🛍️ SẢN PHẨM</t>
        </is>
      </c>
      <c r="B9" s="21" t="inlineStr">
        <is>
          <t>LEAD</t>
        </is>
      </c>
      <c r="C9" s="14" t="inlineStr">
        <is>
          <t>Quản lý CTV Sản phẩm (Articles+Product)
Review chất lượng catalog
Planning upload sản phẩm
Fix lỗi hệ thống sản phẩm</t>
        </is>
      </c>
      <c r="D9" s="14" t="inlineStr">
        <is>
          <t>Sản xuất: ≥ 176đ (~60%)
Quản lý CTV: 24đ/tháng (nếu phụ trách)
Review 100% sản phẩm mới/tháng
Báo cáo tồn kho nội dung đúng kỳ</t>
        </is>
      </c>
      <c r="E9" s="14" t="inlineStr">
        <is>
          <t>Sản xuất: theo loại task
Quản lý CTV: 24đ/tháng
Quản lý CTV Multimedia: 12đ/tháng</t>
        </is>
      </c>
      <c r="F9" s="14" t="inlineStr">
        <is>
          <t>Zero lỗi sản phẩm xuất bản
Team accuracy ≥ 99%
Catalog cập nhật đúng tiến độ 95%</t>
        </is>
      </c>
      <c r="G9" s="14" t="inlineStr">
        <is>
          <t>Review task trong 12h
Upload đúng lịch 100%
Báo cáo catalog đúng hạn</t>
        </is>
      </c>
      <c r="H9" s="14" t="inlineStr">
        <is>
          <t>Quản lý catalog lớn (10,000+ SP)
Hiểu quy trình xuất bản
Coordinate với team Design/MKT</t>
        </is>
      </c>
      <c r="I9" s="14" t="inlineStr">
        <is>
          <t>Bonus nếu team accuracy = 100%
Bonus nếu catalog on-time 100%</t>
        </is>
      </c>
      <c r="J9" s="14" t="inlineStr">
        <is>
          <t>Tham khảo bảng lương</t>
        </is>
      </c>
    </row>
    <row r="10" ht="100" customHeight="1">
      <c r="A10" s="23" t="inlineStr">
        <is>
          <t>🎬 MULTIMEDIA
&amp; TIN NHANH</t>
        </is>
      </c>
      <c r="B10" s="19" t="inlineStr">
        <is>
          <t>STAFF</t>
        </is>
      </c>
      <c r="C10" s="6" t="inlineStr">
        <is>
          <t>Reup Short video (Media/MKT)
Reup Long form trên trang TC
News tin tức y tế
Carousel + Audio cơ bản</t>
        </is>
      </c>
      <c r="D10" s="6" t="inlineStr">
        <is>
          <t>≥ 294 điểm/tháng
• Reup Short video: ≥ 100 video/tháng
• Reup Longform: ≥ 20 bài/tháng
• News tin nhanh: ≥ 8 bài/tháng
• Infographic: ≥ 4 cái/tháng</t>
        </is>
      </c>
      <c r="E10" s="6" t="inlineStr">
        <is>
          <t>Reup Short video: 0.5đ/video
Reup Longform TC: 1đ/bài
Reup Longform có thiết kế: 6đ
News tin tức y tế: 4đ/bài
News Short video: 3đ/video
Carousel+Audio: 2.5đ
Infographic: 4đ</t>
        </is>
      </c>
      <c r="F10" s="6" t="inlineStr">
        <is>
          <t>Video đúng format/caption
Không có lỗi thông tin y tế
Publish đúng lịch ≥ 90%</t>
        </is>
      </c>
      <c r="G10" s="6" t="inlineStr">
        <is>
          <t>Reup đúng lịch đăng
Không trễ tin nhanh &gt; 2h
Nộp KPI daily</t>
        </is>
      </c>
      <c r="H10" s="6" t="inlineStr">
        <is>
          <t>Kỹ năng edit video cơ bản
Hiểu lịch đăng bài mạng xã hội
Caption đúng format platform</t>
        </is>
      </c>
      <c r="I10" s="6" t="inlineStr">
        <is>
          <t>+5% nếu ≥ 110% target
Bonus video viral (&gt;100k views)</t>
        </is>
      </c>
      <c r="J10" s="6" t="inlineStr">
        <is>
          <t>Tham khảo bảng lương</t>
        </is>
      </c>
    </row>
    <row r="11" ht="100" customHeight="1">
      <c r="A11" s="23" t="inlineStr">
        <is>
          <t>🎬 MULTIMEDIA
&amp; TIN NHANH</t>
        </is>
      </c>
      <c r="B11" s="20" t="inlineStr">
        <is>
          <t>SENIOR</t>
        </is>
      </c>
      <c r="C11" s="10" t="inlineStr">
        <is>
          <t>Short video gốc (tự sản xuất)
Storytelling / Series cao cấp
Infographic phức tạp
Launching / Campaign</t>
        </is>
      </c>
      <c r="D11" s="10" t="inlineStr">
        <is>
          <t>≥ 323 điểm/tháng (110%)
• Short video gốc: ≥ 4 video/tháng
• Storytelling: ≥ 1/tháng (25đ)
• Infographic: ≥ 6 cái/tháng
• Campaign content: theo yêu cầu</t>
        </is>
      </c>
      <c r="E11" s="10" t="inlineStr">
        <is>
          <t>Short video gốc: 2đ/video
Storytelling: 25đ/bài
Infographic: 4đ/cái
Launching bài viết: 1đ
Duyệt Video (Recap): 2đ
Bài kiểm tra sức khỏe: 5đ</t>
        </is>
      </c>
      <c r="F11" s="10" t="inlineStr">
        <is>
          <t>Video KPIs: ≥ 5k views TB
Engagement rate ≥ 3%
Quality score ≥ 4.0/5.0</t>
        </is>
      </c>
      <c r="G11" s="10" t="inlineStr">
        <is>
          <t>Lên lịch content tuần không cần nhắc
Hoàn thành campaign đúng deadline
Không delay production &gt; 1 ngày</t>
        </is>
      </c>
      <c r="H11" s="10" t="inlineStr">
        <is>
          <t>Sản xuất video end-to-end
Creative storytelling y tế
Hiểu analytics social media
Trend monitoring &amp; adaptation</t>
        </is>
      </c>
      <c r="I11" s="10" t="inlineStr">
        <is>
          <t>+10% nếu ≥ 125% target
Bonus Storytelling viral
Bonus campaign thành công</t>
        </is>
      </c>
      <c r="J11" s="10" t="inlineStr">
        <is>
          <t>Tham khảo bảng lương</t>
        </is>
      </c>
    </row>
    <row r="12" ht="100" customHeight="1">
      <c r="A12" s="23" t="inlineStr">
        <is>
          <t>🎬 MULTIMEDIA
&amp; TIN NHANH</t>
        </is>
      </c>
      <c r="B12" s="21" t="inlineStr">
        <is>
          <t>LEAD</t>
        </is>
      </c>
      <c r="C12" s="14" t="inlineStr">
        <is>
          <t>Duyệt Video (Recap) &amp; Storytelling
Planning lịch multimedia tháng
Review chất lượng video/infographic
Coordinate với team Media/MKT</t>
        </is>
      </c>
      <c r="D12" s="14" t="inlineStr">
        <is>
          <t>Sản xuất: ≥ 176đ (~60%)
Duyệt Video: đúng hạn 100%
Planning multimedia: nộp đầu tháng
Báo cáo performance content: đúng kỳ</t>
        </is>
      </c>
      <c r="E12" s="14" t="inlineStr">
        <is>
          <t>Sản xuất: theo loại task
Duyệt Video Recap: 2đ/video
Quản lý CTV Multimedia: 12đ/tháng</t>
        </is>
      </c>
      <c r="F12" s="14" t="inlineStr">
        <is>
          <t>Engagement team content ≥ 4%
Zero nội dung sai thông tin y tế
Views trung bình ≥ 8k/video</t>
        </is>
      </c>
      <c r="G12" s="14" t="inlineStr">
        <is>
          <t>Duyệt content trong 24h
Lịch đăng on-time 98%
Campaign brief đúng hạn 100%</t>
        </is>
      </c>
      <c r="H12" s="14" t="inlineStr">
        <is>
          <t>Quản lý production workflow
Briefing creative team
Đo lường &amp; báo cáo performance
Coaching kỹ năng sản xuất</t>
        </is>
      </c>
      <c r="I12" s="14" t="inlineStr">
        <is>
          <t>Bonus nếu viral content (&gt;500k)
Bonus engagement vượt target
Bonus campaign on-time &amp; over-budget</t>
        </is>
      </c>
      <c r="J12" s="14" t="inlineStr">
        <is>
          <t>Tham khảo bảng lương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6" customWidth="1" min="4" max="4"/>
    <col width="16" customWidth="1" min="5" max="5"/>
    <col width="22" customWidth="1" min="6" max="6"/>
    <col width="30" customWidth="1" min="7" max="7"/>
  </cols>
  <sheetData>
    <row r="1" ht="30" customHeight="1">
      <c r="A1" s="17" t="inlineStr">
        <is>
          <t>BẢNG ĐIỂM QUY ĐỔI ĐẦU VIỆC — LONG CHÂU CONTENT</t>
        </is>
      </c>
    </row>
    <row r="2" ht="32" customHeight="1">
      <c r="A2" s="3" t="inlineStr">
        <is>
          <t>NHÓM</t>
        </is>
      </c>
      <c r="B2" s="3" t="inlineStr">
        <is>
          <t>ĐẦU VIỆC</t>
        </is>
      </c>
      <c r="C2" s="3" t="inlineStr">
        <is>
          <t>CHI TIẾT ĐẦU VIỆC</t>
        </is>
      </c>
      <c r="D2" s="3" t="inlineStr">
        <is>
          <t>ĐIỂM/LINK
(hoặc /sản phẩm)</t>
        </is>
      </c>
      <c r="E2" s="3" t="inlineStr">
        <is>
          <t>THỜI GIAN TB (h)</t>
        </is>
      </c>
      <c r="F2" s="3" t="inlineStr">
        <is>
          <t>NHÓM TEAM</t>
        </is>
      </c>
      <c r="G2" s="3" t="inlineStr">
        <is>
          <t>GHI CHÚ</t>
        </is>
      </c>
    </row>
    <row r="3" ht="22" customHeight="1">
      <c r="A3" s="24" t="inlineStr">
        <is>
          <t>Sản phẩm</t>
        </is>
      </c>
      <c r="B3" s="25" t="inlineStr">
        <is>
          <t>Sản phẩm</t>
        </is>
      </c>
      <c r="C3" s="25" t="inlineStr">
        <is>
          <t>Viết mô tả chi tiết</t>
        </is>
      </c>
      <c r="D3" s="26" t="n">
        <v>3</v>
      </c>
      <c r="E3" s="27" t="n">
        <v>2</v>
      </c>
      <c r="F3" s="25" t="inlineStr">
        <is>
          <t>Sản phẩm</t>
        </is>
      </c>
      <c r="G3" s="25" t="inlineStr"/>
    </row>
    <row r="4" ht="22" customHeight="1">
      <c r="A4" s="24" t="inlineStr">
        <is>
          <t>Sản phẩm</t>
        </is>
      </c>
      <c r="B4" s="25" t="inlineStr">
        <is>
          <t>Sản phẩm</t>
        </is>
      </c>
      <c r="C4" s="25" t="inlineStr">
        <is>
          <t>Duyệt Thành phần</t>
        </is>
      </c>
      <c r="D4" s="26" t="n">
        <v>1.5</v>
      </c>
      <c r="E4" s="27" t="n">
        <v>1</v>
      </c>
      <c r="F4" s="25" t="inlineStr">
        <is>
          <t>Sản phẩm</t>
        </is>
      </c>
      <c r="G4" s="25" t="inlineStr"/>
    </row>
    <row r="5" ht="22" customHeight="1">
      <c r="A5" s="24" t="inlineStr">
        <is>
          <t>Sản phẩm</t>
        </is>
      </c>
      <c r="B5" s="25" t="inlineStr">
        <is>
          <t>Sản phẩm</t>
        </is>
      </c>
      <c r="C5" s="25" t="inlineStr">
        <is>
          <t>Duyệt mô tả chi tiết</t>
        </is>
      </c>
      <c r="D5" s="26" t="n">
        <v>1.5</v>
      </c>
      <c r="E5" s="27" t="n">
        <v>1</v>
      </c>
      <c r="F5" s="25" t="inlineStr">
        <is>
          <t>Sản phẩm</t>
        </is>
      </c>
      <c r="G5" s="25" t="inlineStr"/>
    </row>
    <row r="6" ht="22" customHeight="1">
      <c r="A6" s="24" t="inlineStr">
        <is>
          <t>Sản phẩm</t>
        </is>
      </c>
      <c r="B6" s="25" t="inlineStr">
        <is>
          <t>Sản phẩm</t>
        </is>
      </c>
      <c r="C6" s="25" t="inlineStr">
        <is>
          <t>Cập nhật thông tin</t>
        </is>
      </c>
      <c r="D6" s="26" t="n">
        <v>0.5</v>
      </c>
      <c r="E6" s="27" t="n">
        <v>0.33</v>
      </c>
      <c r="F6" s="25" t="inlineStr">
        <is>
          <t>Sản phẩm</t>
        </is>
      </c>
      <c r="G6" s="25" t="inlineStr"/>
    </row>
    <row r="7" ht="22" customHeight="1">
      <c r="A7" s="24" t="inlineStr">
        <is>
          <t>Sản phẩm</t>
        </is>
      </c>
      <c r="B7" s="25" t="inlineStr">
        <is>
          <t>Sản phẩm</t>
        </is>
      </c>
      <c r="C7" s="25" t="inlineStr">
        <is>
          <t>Cập nhật thông tin (mô tả AI)</t>
        </is>
      </c>
      <c r="D7" s="26" t="n">
        <v>0.75</v>
      </c>
      <c r="E7" s="27" t="n">
        <v>0.5</v>
      </c>
      <c r="F7" s="25" t="inlineStr">
        <is>
          <t>Sản phẩm</t>
        </is>
      </c>
      <c r="G7" s="25" t="inlineStr"/>
    </row>
    <row r="8" ht="22" customHeight="1">
      <c r="A8" s="24" t="inlineStr">
        <is>
          <t>Sản phẩm</t>
        </is>
      </c>
      <c r="B8" s="25" t="inlineStr">
        <is>
          <t>Sản phẩm</t>
        </is>
      </c>
      <c r="C8" s="25" t="inlineStr">
        <is>
          <t>Listing Image (Hãng)</t>
        </is>
      </c>
      <c r="D8" s="26" t="n">
        <v>3</v>
      </c>
      <c r="E8" s="27" t="n">
        <v>2</v>
      </c>
      <c r="F8" s="25" t="inlineStr">
        <is>
          <t>Sản phẩm</t>
        </is>
      </c>
      <c r="G8" s="25" t="inlineStr"/>
    </row>
    <row r="9" ht="22" customHeight="1">
      <c r="A9" s="28" t="inlineStr">
        <is>
          <t>Bài viết</t>
        </is>
      </c>
      <c r="B9" s="6" t="inlineStr">
        <is>
          <t>Bài Góc sức khỏe</t>
        </is>
      </c>
      <c r="C9" s="6" t="inlineStr">
        <is>
          <t>SEO</t>
        </is>
      </c>
      <c r="D9" s="29" t="n">
        <v>0.75</v>
      </c>
      <c r="E9" s="30" t="n">
        <v>0.5</v>
      </c>
      <c r="F9" s="6" t="inlineStr">
        <is>
          <t>Bài viết</t>
        </is>
      </c>
      <c r="G9" s="6" t="inlineStr"/>
    </row>
    <row r="10" ht="22" customHeight="1">
      <c r="A10" s="28" t="inlineStr">
        <is>
          <t>Bài viết</t>
        </is>
      </c>
      <c r="B10" s="6" t="inlineStr">
        <is>
          <t>Bài Góc sức khỏe</t>
        </is>
      </c>
      <c r="C10" s="6" t="inlineStr">
        <is>
          <t>Trend</t>
        </is>
      </c>
      <c r="D10" s="29" t="n">
        <v>0.75</v>
      </c>
      <c r="E10" s="30" t="n">
        <v>0.5</v>
      </c>
      <c r="F10" s="6" t="inlineStr">
        <is>
          <t>Bài viết</t>
        </is>
      </c>
      <c r="G10" s="6" t="inlineStr"/>
    </row>
    <row r="11" ht="22" customHeight="1">
      <c r="A11" s="28" t="inlineStr">
        <is>
          <t>Bài viết</t>
        </is>
      </c>
      <c r="B11" s="6" t="inlineStr">
        <is>
          <t>Bài Góc sức khỏe</t>
        </is>
      </c>
      <c r="C11" s="6" t="inlineStr">
        <is>
          <t>Ngành hàng</t>
        </is>
      </c>
      <c r="D11" s="29" t="n">
        <v>0.75</v>
      </c>
      <c r="E11" s="30" t="n">
        <v>0.5</v>
      </c>
      <c r="F11" s="6" t="inlineStr">
        <is>
          <t>Bài viết</t>
        </is>
      </c>
      <c r="G11" s="6" t="inlineStr"/>
    </row>
    <row r="12" ht="22" customHeight="1">
      <c r="A12" s="28" t="inlineStr">
        <is>
          <t>Bài viết</t>
        </is>
      </c>
      <c r="B12" s="6" t="inlineStr">
        <is>
          <t>Bài Góc sức khỏe</t>
        </is>
      </c>
      <c r="C12" s="6" t="inlineStr">
        <is>
          <t>MKT</t>
        </is>
      </c>
      <c r="D12" s="29" t="n">
        <v>0.75</v>
      </c>
      <c r="E12" s="30" t="n">
        <v>0.5</v>
      </c>
      <c r="F12" s="6" t="inlineStr">
        <is>
          <t>Bài viết</t>
        </is>
      </c>
      <c r="G12" s="6" t="inlineStr"/>
    </row>
    <row r="13" ht="22" customHeight="1">
      <c r="A13" s="28" t="inlineStr">
        <is>
          <t>Bài viết</t>
        </is>
      </c>
      <c r="B13" s="6" t="inlineStr">
        <is>
          <t>Bài Góc sức khỏe</t>
        </is>
      </c>
      <c r="C13" s="6" t="inlineStr">
        <is>
          <t>Longform</t>
        </is>
      </c>
      <c r="D13" s="29" t="n">
        <v>12</v>
      </c>
      <c r="E13" s="30" t="n">
        <v>8</v>
      </c>
      <c r="F13" s="6" t="inlineStr">
        <is>
          <t>Bài viết</t>
        </is>
      </c>
      <c r="G13" s="6" t="inlineStr"/>
    </row>
    <row r="14" ht="22" customHeight="1">
      <c r="A14" s="28" t="inlineStr">
        <is>
          <t>Bài viết</t>
        </is>
      </c>
      <c r="B14" s="6" t="inlineStr">
        <is>
          <t>Bài Góc sức khỏe</t>
        </is>
      </c>
      <c r="C14" s="6" t="inlineStr">
        <is>
          <t>Bài AI</t>
        </is>
      </c>
      <c r="D14" s="29" t="n">
        <v>1</v>
      </c>
      <c r="E14" s="30" t="n">
        <v>0.67</v>
      </c>
      <c r="F14" s="6" t="inlineStr">
        <is>
          <t>Bài viết</t>
        </is>
      </c>
      <c r="G14" s="6" t="inlineStr"/>
    </row>
    <row r="15" ht="22" customHeight="1">
      <c r="A15" s="28" t="inlineStr">
        <is>
          <t>Bài viết</t>
        </is>
      </c>
      <c r="B15" s="6" t="inlineStr">
        <is>
          <t>Bài Bệnh lý - Thành phần</t>
        </is>
      </c>
      <c r="C15" s="6" t="inlineStr">
        <is>
          <t>Bệnh lý</t>
        </is>
      </c>
      <c r="D15" s="29" t="n">
        <v>1.2</v>
      </c>
      <c r="E15" s="30" t="n">
        <v>0.8</v>
      </c>
      <c r="F15" s="6" t="inlineStr">
        <is>
          <t>Bài viết</t>
        </is>
      </c>
      <c r="G15" s="6" t="inlineStr"/>
    </row>
    <row r="16" ht="22" customHeight="1">
      <c r="A16" s="28" t="inlineStr">
        <is>
          <t>Bài viết</t>
        </is>
      </c>
      <c r="B16" s="6" t="inlineStr">
        <is>
          <t>Bài Bệnh lý - Thành phần</t>
        </is>
      </c>
      <c r="C16" s="6" t="inlineStr">
        <is>
          <t>Thuốc gốc</t>
        </is>
      </c>
      <c r="D16" s="29" t="n">
        <v>1.2</v>
      </c>
      <c r="E16" s="30" t="n">
        <v>0.8</v>
      </c>
      <c r="F16" s="6" t="inlineStr">
        <is>
          <t>Bài viết</t>
        </is>
      </c>
      <c r="G16" s="6" t="inlineStr"/>
    </row>
    <row r="17" ht="22" customHeight="1">
      <c r="A17" s="28" t="inlineStr">
        <is>
          <t>Bài viết</t>
        </is>
      </c>
      <c r="B17" s="6" t="inlineStr">
        <is>
          <t>Bài Bệnh lý - Thành phần</t>
        </is>
      </c>
      <c r="C17" s="6" t="inlineStr">
        <is>
          <t>Thành phần khác</t>
        </is>
      </c>
      <c r="D17" s="29" t="n">
        <v>1.2</v>
      </c>
      <c r="E17" s="30" t="n">
        <v>0.8</v>
      </c>
      <c r="F17" s="6" t="inlineStr">
        <is>
          <t>Bài viết</t>
        </is>
      </c>
      <c r="G17" s="6" t="inlineStr"/>
    </row>
    <row r="18" ht="22" customHeight="1">
      <c r="A18" s="28" t="inlineStr">
        <is>
          <t>Bài viết</t>
        </is>
      </c>
      <c r="B18" s="6" t="inlineStr">
        <is>
          <t>Bài Bệnh lý - Thành phần</t>
        </is>
      </c>
      <c r="C18" s="6" t="inlineStr">
        <is>
          <t>Dược liệu</t>
        </is>
      </c>
      <c r="D18" s="29" t="n">
        <v>1.2</v>
      </c>
      <c r="E18" s="30" t="n">
        <v>0.8</v>
      </c>
      <c r="F18" s="6" t="inlineStr">
        <is>
          <t>Bài viết</t>
        </is>
      </c>
      <c r="G18" s="6" t="inlineStr"/>
    </row>
    <row r="19" ht="22" customHeight="1">
      <c r="A19" s="31" t="inlineStr">
        <is>
          <t>Tối ưu</t>
        </is>
      </c>
      <c r="B19" s="10" t="inlineStr">
        <is>
          <t>Tối ưu Sản phẩm - Bài viết</t>
        </is>
      </c>
      <c r="C19" s="10" t="inlineStr">
        <is>
          <t>FAQ</t>
        </is>
      </c>
      <c r="D19" s="32" t="n">
        <v>0.5</v>
      </c>
      <c r="E19" s="33" t="n">
        <v>0.33</v>
      </c>
      <c r="F19" s="10" t="inlineStr">
        <is>
          <t>Bài viết / SP</t>
        </is>
      </c>
      <c r="G19" s="10" t="inlineStr"/>
    </row>
    <row r="20" ht="22" customHeight="1">
      <c r="A20" s="31" t="inlineStr">
        <is>
          <t>Tối ưu</t>
        </is>
      </c>
      <c r="B20" s="10" t="inlineStr">
        <is>
          <t>Tối ưu Sản phẩm - Bài viết</t>
        </is>
      </c>
      <c r="C20" s="10" t="inlineStr">
        <is>
          <t>Thương hiệu</t>
        </is>
      </c>
      <c r="D20" s="32" t="n">
        <v>1</v>
      </c>
      <c r="E20" s="33" t="n">
        <v>0.67</v>
      </c>
      <c r="F20" s="10" t="inlineStr">
        <is>
          <t>Sản phẩm</t>
        </is>
      </c>
      <c r="G20" s="10" t="inlineStr"/>
    </row>
    <row r="21" ht="22" customHeight="1">
      <c r="A21" s="31" t="inlineStr">
        <is>
          <t>Tối ưu</t>
        </is>
      </c>
      <c r="B21" s="10" t="inlineStr">
        <is>
          <t>Tối ưu Sản phẩm - Bài viết</t>
        </is>
      </c>
      <c r="C21" s="10" t="inlineStr">
        <is>
          <t>Tối ưu sản phẩm đơn giản</t>
        </is>
      </c>
      <c r="D21" s="32" t="n">
        <v>0.5</v>
      </c>
      <c r="E21" s="33" t="n">
        <v>0.33</v>
      </c>
      <c r="F21" s="10" t="inlineStr">
        <is>
          <t>Sản phẩm</t>
        </is>
      </c>
      <c r="G21" s="10" t="inlineStr"/>
    </row>
    <row r="22" ht="22" customHeight="1">
      <c r="A22" s="31" t="inlineStr">
        <is>
          <t>Tối ưu</t>
        </is>
      </c>
      <c r="B22" s="10" t="inlineStr">
        <is>
          <t>Tối ưu Sản phẩm - Bài viết</t>
        </is>
      </c>
      <c r="C22" s="10" t="inlineStr">
        <is>
          <t>Tối ưu sản phẩm chi tiết</t>
        </is>
      </c>
      <c r="D22" s="32" t="n">
        <v>1</v>
      </c>
      <c r="E22" s="33" t="n">
        <v>0.67</v>
      </c>
      <c r="F22" s="10" t="inlineStr">
        <is>
          <t>Sản phẩm</t>
        </is>
      </c>
      <c r="G22" s="10" t="inlineStr"/>
    </row>
    <row r="23" ht="22" customHeight="1">
      <c r="A23" s="31" t="inlineStr">
        <is>
          <t>Tối ưu</t>
        </is>
      </c>
      <c r="B23" s="10" t="inlineStr">
        <is>
          <t>Tối ưu Sản phẩm - Bài viết</t>
        </is>
      </c>
      <c r="C23" s="10" t="inlineStr">
        <is>
          <t>Tối ưu bài viết đơn giản</t>
        </is>
      </c>
      <c r="D23" s="32" t="n">
        <v>0.5</v>
      </c>
      <c r="E23" s="33" t="n">
        <v>0.33</v>
      </c>
      <c r="F23" s="10" t="inlineStr">
        <is>
          <t>Bài viết</t>
        </is>
      </c>
      <c r="G23" s="10" t="inlineStr"/>
    </row>
    <row r="24" ht="22" customHeight="1">
      <c r="A24" s="31" t="inlineStr">
        <is>
          <t>Tối ưu</t>
        </is>
      </c>
      <c r="B24" s="10" t="inlineStr">
        <is>
          <t>Tối ưu Sản phẩm - Bài viết</t>
        </is>
      </c>
      <c r="C24" s="10" t="inlineStr">
        <is>
          <t>Tối ưu bài viết chi tiết</t>
        </is>
      </c>
      <c r="D24" s="32" t="n">
        <v>1</v>
      </c>
      <c r="E24" s="33" t="n">
        <v>0.67</v>
      </c>
      <c r="F24" s="10" t="inlineStr">
        <is>
          <t>Bài viết</t>
        </is>
      </c>
      <c r="G24" s="10" t="inlineStr"/>
    </row>
    <row r="25" ht="22" customHeight="1">
      <c r="A25" s="31" t="inlineStr">
        <is>
          <t>Tối ưu</t>
        </is>
      </c>
      <c r="B25" s="10" t="inlineStr">
        <is>
          <t>Tối ưu Sản phẩm - Bài viết</t>
        </is>
      </c>
      <c r="C25" s="10" t="inlineStr">
        <is>
          <t>Tối ưu multimedia đơn giản</t>
        </is>
      </c>
      <c r="D25" s="32" t="n">
        <v>0.5</v>
      </c>
      <c r="E25" s="33" t="n">
        <v>0.33</v>
      </c>
      <c r="F25" s="10" t="inlineStr">
        <is>
          <t>Multimedia</t>
        </is>
      </c>
      <c r="G25" s="10" t="inlineStr"/>
    </row>
    <row r="26" ht="22" customHeight="1">
      <c r="A26" s="31" t="inlineStr">
        <is>
          <t>Tối ưu</t>
        </is>
      </c>
      <c r="B26" s="10" t="inlineStr">
        <is>
          <t>Tối ưu Sản phẩm - Bài viết</t>
        </is>
      </c>
      <c r="C26" s="10" t="inlineStr">
        <is>
          <t>Tối ưu multimedia chi tiết</t>
        </is>
      </c>
      <c r="D26" s="32" t="n">
        <v>1</v>
      </c>
      <c r="E26" s="33" t="n">
        <v>0.67</v>
      </c>
      <c r="F26" s="10" t="inlineStr">
        <is>
          <t>Multimedia</t>
        </is>
      </c>
      <c r="G26" s="10" t="inlineStr"/>
    </row>
    <row r="27" ht="22" customHeight="1">
      <c r="A27" s="31" t="inlineStr">
        <is>
          <t>Tối ưu</t>
        </is>
      </c>
      <c r="B27" s="10" t="inlineStr">
        <is>
          <t>Tối ưu Sản phẩm - Bài viết</t>
        </is>
      </c>
      <c r="C27" s="10" t="inlineStr">
        <is>
          <t>Bổ sung thông tin đơn giản</t>
        </is>
      </c>
      <c r="D27" s="32" t="n">
        <v>0.5</v>
      </c>
      <c r="E27" s="33" t="n">
        <v>0.33</v>
      </c>
      <c r="F27" s="10" t="inlineStr">
        <is>
          <t>Sản phẩm</t>
        </is>
      </c>
      <c r="G27" s="10" t="inlineStr"/>
    </row>
    <row r="28" ht="22" customHeight="1">
      <c r="A28" s="31" t="inlineStr">
        <is>
          <t>Tối ưu</t>
        </is>
      </c>
      <c r="B28" s="10" t="inlineStr">
        <is>
          <t>Tối ưu Sản phẩm - Bài viết</t>
        </is>
      </c>
      <c r="C28" s="10" t="inlineStr">
        <is>
          <t>Bổ sung thông tin chi tiết</t>
        </is>
      </c>
      <c r="D28" s="32" t="n">
        <v>1</v>
      </c>
      <c r="E28" s="33" t="n">
        <v>0.67</v>
      </c>
      <c r="F28" s="10" t="inlineStr">
        <is>
          <t>Sản phẩm</t>
        </is>
      </c>
      <c r="G28" s="10" t="inlineStr"/>
    </row>
    <row r="29" ht="22" customHeight="1">
      <c r="A29" s="31" t="inlineStr">
        <is>
          <t>Tối ưu</t>
        </is>
      </c>
      <c r="B29" s="10" t="inlineStr">
        <is>
          <t>Tối ưu Sản phẩm - Bài viết</t>
        </is>
      </c>
      <c r="C29" s="10" t="inlineStr">
        <is>
          <t>Cập nhật hình ảnh</t>
        </is>
      </c>
      <c r="D29" s="32" t="n">
        <v>0.5</v>
      </c>
      <c r="E29" s="33" t="n">
        <v>0.33</v>
      </c>
      <c r="F29" s="10" t="inlineStr">
        <is>
          <t>Sản phẩm</t>
        </is>
      </c>
      <c r="G29" s="10" t="inlineStr"/>
    </row>
    <row r="30" ht="22" customHeight="1">
      <c r="A30" s="31" t="inlineStr">
        <is>
          <t>Tối ưu</t>
        </is>
      </c>
      <c r="B30" s="10" t="inlineStr">
        <is>
          <t>Tối ưu Sản phẩm - Bài viết</t>
        </is>
      </c>
      <c r="C30" s="10" t="inlineStr">
        <is>
          <t>Trực ban</t>
        </is>
      </c>
      <c r="D30" s="32" t="n">
        <v>6</v>
      </c>
      <c r="E30" s="33" t="n">
        <v>4</v>
      </c>
      <c r="F30" s="10" t="inlineStr">
        <is>
          <t>Bài viết / SP</t>
        </is>
      </c>
      <c r="G30" s="10" t="inlineStr">
        <is>
          <t>Mỗi lần trực 4 tiếng</t>
        </is>
      </c>
    </row>
    <row r="31" ht="22" customHeight="1">
      <c r="A31" s="31" t="inlineStr">
        <is>
          <t>Tối ưu</t>
        </is>
      </c>
      <c r="B31" s="10" t="inlineStr">
        <is>
          <t>Tối ưu Sản phẩm - Bài viết</t>
        </is>
      </c>
      <c r="C31" s="10" t="inlineStr">
        <is>
          <t>Quản lý CTV (Articles+Product)</t>
        </is>
      </c>
      <c r="D31" s="32" t="n">
        <v>24</v>
      </c>
      <c r="E31" s="33" t="n">
        <v>16</v>
      </c>
      <c r="F31" s="10" t="inlineStr">
        <is>
          <t>Lead / Manager</t>
        </is>
      </c>
      <c r="G31" s="10" t="inlineStr"/>
    </row>
    <row r="32" ht="22" customHeight="1">
      <c r="A32" s="31" t="inlineStr">
        <is>
          <t>Tối ưu</t>
        </is>
      </c>
      <c r="B32" s="10" t="inlineStr">
        <is>
          <t>Tối ưu Sản phẩm - Bài viết</t>
        </is>
      </c>
      <c r="C32" s="10" t="inlineStr">
        <is>
          <t>Quản lý CTV (Multimedia)</t>
        </is>
      </c>
      <c r="D32" s="32" t="n">
        <v>12</v>
      </c>
      <c r="E32" s="33" t="n">
        <v>8</v>
      </c>
      <c r="F32" s="10" t="inlineStr">
        <is>
          <t>Lead / Manager</t>
        </is>
      </c>
      <c r="G32" s="10" t="inlineStr"/>
    </row>
    <row r="33" ht="22" customHeight="1">
      <c r="A33" s="34" t="inlineStr">
        <is>
          <t>Multimedia</t>
        </is>
      </c>
      <c r="B33" s="35" t="inlineStr">
        <is>
          <t>Nội dung mới</t>
        </is>
      </c>
      <c r="C33" s="35" t="inlineStr">
        <is>
          <t>Short video</t>
        </is>
      </c>
      <c r="D33" s="36" t="n">
        <v>2</v>
      </c>
      <c r="E33" s="37" t="n">
        <v>1.33</v>
      </c>
      <c r="F33" s="35" t="inlineStr">
        <is>
          <t>Multimedia</t>
        </is>
      </c>
      <c r="G33" s="35" t="inlineStr"/>
    </row>
    <row r="34" ht="22" customHeight="1">
      <c r="A34" s="34" t="inlineStr">
        <is>
          <t>Multimedia</t>
        </is>
      </c>
      <c r="B34" s="35" t="inlineStr">
        <is>
          <t>Nội dung mới</t>
        </is>
      </c>
      <c r="C34" s="35" t="inlineStr">
        <is>
          <t>Reup Short video (Media/MKT)</t>
        </is>
      </c>
      <c r="D34" s="36" t="n">
        <v>0.5</v>
      </c>
      <c r="E34" s="37" t="n">
        <v>0.33</v>
      </c>
      <c r="F34" s="35" t="inlineStr">
        <is>
          <t>Multimedia</t>
        </is>
      </c>
      <c r="G34" s="35" t="inlineStr"/>
    </row>
    <row r="35" ht="22" customHeight="1">
      <c r="A35" s="34" t="inlineStr">
        <is>
          <t>Multimedia</t>
        </is>
      </c>
      <c r="B35" s="35" t="inlineStr">
        <is>
          <t>Nội dung mới</t>
        </is>
      </c>
      <c r="C35" s="35" t="inlineStr">
        <is>
          <t>Reup video của MKT</t>
        </is>
      </c>
      <c r="D35" s="36" t="n">
        <v>1.5</v>
      </c>
      <c r="E35" s="37" t="n">
        <v>1</v>
      </c>
      <c r="F35" s="35" t="inlineStr">
        <is>
          <t>Multimedia</t>
        </is>
      </c>
      <c r="G35" s="35" t="inlineStr"/>
    </row>
    <row r="36" ht="22" customHeight="1">
      <c r="A36" s="34" t="inlineStr">
        <is>
          <t>Multimedia</t>
        </is>
      </c>
      <c r="B36" s="35" t="inlineStr">
        <is>
          <t>Nội dung mới</t>
        </is>
      </c>
      <c r="C36" s="35" t="inlineStr">
        <is>
          <t>Duyệt Video (Recap)</t>
        </is>
      </c>
      <c r="D36" s="36" t="n">
        <v>2</v>
      </c>
      <c r="E36" s="37" t="n">
        <v>1.33</v>
      </c>
      <c r="F36" s="35" t="inlineStr">
        <is>
          <t>Multimedia</t>
        </is>
      </c>
      <c r="G36" s="35" t="inlineStr"/>
    </row>
    <row r="37" ht="22" customHeight="1">
      <c r="A37" s="34" t="inlineStr">
        <is>
          <t>Multimedia</t>
        </is>
      </c>
      <c r="B37" s="35" t="inlineStr">
        <is>
          <t>Nội dung mới</t>
        </is>
      </c>
      <c r="C37" s="35" t="inlineStr">
        <is>
          <t>Reup Long form trên trang TC</t>
        </is>
      </c>
      <c r="D37" s="36" t="n">
        <v>1</v>
      </c>
      <c r="E37" s="37" t="n">
        <v>0.67</v>
      </c>
      <c r="F37" s="35" t="inlineStr">
        <is>
          <t>Multimedia</t>
        </is>
      </c>
      <c r="G37" s="35" t="inlineStr">
        <is>
          <t>Chỉ reup, không thay đổi thiết kế</t>
        </is>
      </c>
    </row>
    <row r="38" ht="22" customHeight="1">
      <c r="A38" s="34" t="inlineStr">
        <is>
          <t>Multimedia</t>
        </is>
      </c>
      <c r="B38" s="35" t="inlineStr">
        <is>
          <t>Nội dung mới</t>
        </is>
      </c>
      <c r="C38" s="35" t="inlineStr">
        <is>
          <t>Reup Longform có thiết kế lại</t>
        </is>
      </c>
      <c r="D38" s="36" t="n">
        <v>6</v>
      </c>
      <c r="E38" s="37" t="n">
        <v>4</v>
      </c>
      <c r="F38" s="35" t="inlineStr">
        <is>
          <t>Multimedia</t>
        </is>
      </c>
      <c r="G38" s="35" t="inlineStr">
        <is>
          <t>Có thay đổi thiết kế</t>
        </is>
      </c>
    </row>
    <row r="39" ht="22" customHeight="1">
      <c r="A39" s="34" t="inlineStr">
        <is>
          <t>Multimedia</t>
        </is>
      </c>
      <c r="B39" s="35" t="inlineStr">
        <is>
          <t>Nội dung mới</t>
        </is>
      </c>
      <c r="C39" s="35" t="inlineStr">
        <is>
          <t>Infographic</t>
        </is>
      </c>
      <c r="D39" s="36" t="n">
        <v>4</v>
      </c>
      <c r="E39" s="37" t="n">
        <v>2.67</v>
      </c>
      <c r="F39" s="35" t="inlineStr">
        <is>
          <t>Multimedia</t>
        </is>
      </c>
      <c r="G39" s="35" t="inlineStr"/>
    </row>
    <row r="40" ht="22" customHeight="1">
      <c r="A40" s="34" t="inlineStr">
        <is>
          <t>Multimedia</t>
        </is>
      </c>
      <c r="B40" s="35" t="inlineStr">
        <is>
          <t>Nội dung mới</t>
        </is>
      </c>
      <c r="C40" s="35" t="inlineStr">
        <is>
          <t>Carousel + Audio</t>
        </is>
      </c>
      <c r="D40" s="36" t="n">
        <v>2.5</v>
      </c>
      <c r="E40" s="37" t="n">
        <v>1.67</v>
      </c>
      <c r="F40" s="35" t="inlineStr">
        <is>
          <t>Multimedia</t>
        </is>
      </c>
      <c r="G40" s="35" t="inlineStr"/>
    </row>
    <row r="41" ht="22" customHeight="1">
      <c r="A41" s="34" t="inlineStr">
        <is>
          <t>Multimedia</t>
        </is>
      </c>
      <c r="B41" s="35" t="inlineStr">
        <is>
          <t>Nội dung mới</t>
        </is>
      </c>
      <c r="C41" s="35" t="inlineStr">
        <is>
          <t>Storytelling</t>
        </is>
      </c>
      <c r="D41" s="36" t="n">
        <v>25</v>
      </c>
      <c r="E41" s="37" t="n">
        <v>16.67</v>
      </c>
      <c r="F41" s="35" t="inlineStr">
        <is>
          <t>Multimedia</t>
        </is>
      </c>
      <c r="G41" s="35" t="inlineStr"/>
    </row>
    <row r="42" ht="22" customHeight="1">
      <c r="A42" s="34" t="inlineStr">
        <is>
          <t>Multimedia</t>
        </is>
      </c>
      <c r="B42" s="35" t="inlineStr">
        <is>
          <t>Nội dung mới</t>
        </is>
      </c>
      <c r="C42" s="35" t="inlineStr">
        <is>
          <t>Longform chuyên gia</t>
        </is>
      </c>
      <c r="D42" s="36" t="n">
        <v>15</v>
      </c>
      <c r="E42" s="37" t="n">
        <v>10</v>
      </c>
      <c r="F42" s="35" t="inlineStr">
        <is>
          <t>Multimedia</t>
        </is>
      </c>
      <c r="G42" s="35" t="inlineStr"/>
    </row>
    <row r="43" ht="22" customHeight="1">
      <c r="A43" s="34" t="inlineStr">
        <is>
          <t>Multimedia</t>
        </is>
      </c>
      <c r="B43" s="35" t="inlineStr">
        <is>
          <t>Nội dung mới</t>
        </is>
      </c>
      <c r="C43" s="35" t="inlineStr">
        <is>
          <t>Bài kiểm tra sức khỏe</t>
        </is>
      </c>
      <c r="D43" s="36" t="n">
        <v>5</v>
      </c>
      <c r="E43" s="37" t="n">
        <v>3.33</v>
      </c>
      <c r="F43" s="35" t="inlineStr">
        <is>
          <t>Multimedia</t>
        </is>
      </c>
      <c r="G43" s="35" t="inlineStr"/>
    </row>
    <row r="44" ht="22" customHeight="1">
      <c r="A44" s="34" t="inlineStr">
        <is>
          <t>Multimedia</t>
        </is>
      </c>
      <c r="B44" s="35" t="inlineStr">
        <is>
          <t>Nội dung mới</t>
        </is>
      </c>
      <c r="C44" s="35" t="inlineStr">
        <is>
          <t>Cập nhật thông tin chuyên gia</t>
        </is>
      </c>
      <c r="D44" s="36" t="n">
        <v>1</v>
      </c>
      <c r="E44" s="37" t="n">
        <v>0.67</v>
      </c>
      <c r="F44" s="35" t="inlineStr">
        <is>
          <t>Multimedia</t>
        </is>
      </c>
      <c r="G44" s="35" t="inlineStr"/>
    </row>
    <row r="45" ht="22" customHeight="1">
      <c r="A45" s="34" t="inlineStr">
        <is>
          <t>Multimedia</t>
        </is>
      </c>
      <c r="B45" s="35" t="inlineStr">
        <is>
          <t>Nội dung mới</t>
        </is>
      </c>
      <c r="C45" s="35" t="inlineStr">
        <is>
          <t>Launching/Campaign - Thông tin ngắn</t>
        </is>
      </c>
      <c r="D45" s="36" t="n">
        <v>0.5</v>
      </c>
      <c r="E45" s="37" t="n">
        <v>0.33</v>
      </c>
      <c r="F45" s="35" t="inlineStr">
        <is>
          <t>Multimedia</t>
        </is>
      </c>
      <c r="G45" s="35" t="inlineStr"/>
    </row>
    <row r="46" ht="22" customHeight="1">
      <c r="A46" s="34" t="inlineStr">
        <is>
          <t>Multimedia</t>
        </is>
      </c>
      <c r="B46" s="35" t="inlineStr">
        <is>
          <t>Nội dung mới</t>
        </is>
      </c>
      <c r="C46" s="35" t="inlineStr">
        <is>
          <t>Launching/Campaign - Bài viết</t>
        </is>
      </c>
      <c r="D46" s="36" t="n">
        <v>1</v>
      </c>
      <c r="E46" s="37" t="n">
        <v>0.67</v>
      </c>
      <c r="F46" s="35" t="inlineStr">
        <is>
          <t>Multimedia</t>
        </is>
      </c>
      <c r="G46" s="35" t="inlineStr"/>
    </row>
    <row r="47" ht="22" customHeight="1">
      <c r="A47" s="38" t="inlineStr">
        <is>
          <t>Tin nhanh</t>
        </is>
      </c>
      <c r="B47" s="39" t="inlineStr">
        <is>
          <t>Tin nhanh</t>
        </is>
      </c>
      <c r="C47" s="39" t="inlineStr">
        <is>
          <t>News thông tin y tế</t>
        </is>
      </c>
      <c r="D47" s="40" t="n">
        <v>5</v>
      </c>
      <c r="E47" s="41" t="n">
        <v>3.33</v>
      </c>
      <c r="F47" s="39" t="inlineStr">
        <is>
          <t>Multimedia</t>
        </is>
      </c>
      <c r="G47" s="39" t="inlineStr"/>
    </row>
    <row r="48" ht="22" customHeight="1">
      <c r="A48" s="38" t="inlineStr">
        <is>
          <t>Tin nhanh</t>
        </is>
      </c>
      <c r="B48" s="39" t="inlineStr">
        <is>
          <t>Tin nhanh</t>
        </is>
      </c>
      <c r="C48" s="39" t="inlineStr">
        <is>
          <t>News tin tức y tế</t>
        </is>
      </c>
      <c r="D48" s="40" t="n">
        <v>4</v>
      </c>
      <c r="E48" s="41" t="n">
        <v>1.33</v>
      </c>
      <c r="F48" s="39" t="inlineStr">
        <is>
          <t>Multimedia</t>
        </is>
      </c>
      <c r="G48" s="39" t="inlineStr"/>
    </row>
    <row r="49" ht="22" customHeight="1">
      <c r="A49" s="38" t="inlineStr">
        <is>
          <t>Tin nhanh</t>
        </is>
      </c>
      <c r="B49" s="39" t="inlineStr">
        <is>
          <t>Tin nhanh</t>
        </is>
      </c>
      <c r="C49" s="39" t="inlineStr">
        <is>
          <t>News Short video</t>
        </is>
      </c>
      <c r="D49" s="40" t="n">
        <v>3</v>
      </c>
      <c r="E49" s="41" t="n">
        <v>2</v>
      </c>
      <c r="F49" s="39" t="inlineStr">
        <is>
          <t>Multimedia</t>
        </is>
      </c>
      <c r="G49" s="39" t="inlineStr"/>
    </row>
    <row r="51" ht="10" customHeight="1"/>
    <row r="52" ht="24" customHeight="1">
      <c r="A52" s="16" t="inlineStr">
        <is>
          <t>📌 Quy tắc: 1 giờ làm việc = 1.5 điểm  |  Target member: 294 điểm/tháng (196h × 1.5)  |  Target leader sản xuất: 176 điểm/tháng (60%)  |  Nguồn: Point - Taskpoint.csv</t>
        </is>
      </c>
    </row>
  </sheetData>
  <mergeCells count="2">
    <mergeCell ref="A1:G1"/>
    <mergeCell ref="A52:G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4" customWidth="1" min="4" max="4"/>
    <col width="16" customWidth="1" min="5" max="5"/>
    <col width="16" customWidth="1" min="6" max="6"/>
    <col width="28" customWidth="1" min="7" max="7"/>
    <col width="30" customWidth="1" min="8" max="8"/>
  </cols>
  <sheetData>
    <row r="1" ht="30" customHeight="1">
      <c r="A1" s="17" t="inlineStr">
        <is>
          <t>PHIẾU ĐÁNH GIÁ KPI NHÂN VIÊN — HÀNG THÁNG</t>
        </is>
      </c>
    </row>
    <row r="2" ht="22" customHeight="1">
      <c r="A2" s="42" t="inlineStr">
        <is>
          <t>Nhân viên:</t>
        </is>
      </c>
      <c r="B2" s="43" t="inlineStr"/>
      <c r="C2" s="44" t="n"/>
      <c r="D2" s="45" t="n"/>
    </row>
    <row r="3" ht="22" customHeight="1">
      <c r="A3" s="42" t="inlineStr">
        <is>
          <t>Tháng:</t>
        </is>
      </c>
      <c r="B3" s="43" t="inlineStr"/>
      <c r="C3" s="44" t="n"/>
      <c r="D3" s="45" t="n"/>
    </row>
    <row r="4" ht="22" customHeight="1">
      <c r="A4" s="42" t="inlineStr">
        <is>
          <t>Nhóm team:</t>
        </is>
      </c>
      <c r="B4" s="43" t="inlineStr"/>
      <c r="C4" s="44" t="n"/>
      <c r="D4" s="45" t="n"/>
    </row>
    <row r="5" ht="22" customHeight="1">
      <c r="A5" s="42" t="inlineStr">
        <is>
          <t>Tầng hiện tại:</t>
        </is>
      </c>
      <c r="B5" s="43" t="inlineStr"/>
      <c r="C5" s="44" t="n"/>
      <c r="D5" s="45" t="n"/>
    </row>
    <row r="6" ht="22" customHeight="1">
      <c r="A6" s="42" t="inlineStr">
        <is>
          <t>Người đánh giá:</t>
        </is>
      </c>
      <c r="B6" s="43" t="inlineStr"/>
      <c r="C6" s="44" t="n"/>
      <c r="D6" s="45" t="n"/>
    </row>
    <row r="7" ht="22" customHeight="1">
      <c r="A7" s="42" t="inlineStr">
        <is>
          <t>Ngày đánh giá:</t>
        </is>
      </c>
      <c r="B7" s="43" t="inlineStr"/>
      <c r="C7" s="44" t="n"/>
      <c r="D7" s="45" t="n"/>
    </row>
    <row r="9" ht="10" customHeight="1"/>
    <row r="10" ht="28" customHeight="1">
      <c r="A10" s="3" t="inlineStr">
        <is>
          <t>#</t>
        </is>
      </c>
      <c r="B10" s="3" t="inlineStr">
        <is>
          <t>TIÊU CHÍ</t>
        </is>
      </c>
      <c r="C10" s="3" t="inlineStr">
        <is>
          <t>TRỌNG SỐ</t>
        </is>
      </c>
      <c r="D10" s="3" t="inlineStr">
        <is>
          <t>ĐIỂM TỐI ĐA</t>
        </is>
      </c>
      <c r="E10" s="3" t="inlineStr">
        <is>
          <t>ĐIỂM ĐẠT ĐƯỢC</t>
        </is>
      </c>
      <c r="F10" s="3" t="inlineStr">
        <is>
          <t>ĐIỂM TRỌNG SỐ</t>
        </is>
      </c>
      <c r="G10" s="3" t="inlineStr">
        <is>
          <t>NHẬN XÉT CHI TIẾT</t>
        </is>
      </c>
      <c r="H10" s="3" t="inlineStr">
        <is>
          <t>BẰNG CHỨNG / MINH CHỨNG</t>
        </is>
      </c>
    </row>
    <row r="11" ht="70" customHeight="1">
      <c r="A11" s="46" t="inlineStr">
        <is>
          <t>1</t>
        </is>
      </c>
      <c r="B11" s="46" t="inlineStr">
        <is>
          <t>SẢN LƯỢNG (Productivity)</t>
        </is>
      </c>
      <c r="C11" s="47" t="inlineStr">
        <is>
          <t>40%</t>
        </is>
      </c>
      <c r="D11" s="48" t="n">
        <v>5</v>
      </c>
      <c r="E11" s="49" t="inlineStr"/>
      <c r="F11" s="50">
        <f>E12*0.40</f>
        <v/>
      </c>
      <c r="G11" s="51" t="inlineStr">
        <is>
          <t>Đạt % target điểm tháng:
≥110%→5đ | 90–110%→4đ | 70–90%→3đ | 50–70%→2đ | &lt;50%→1đ</t>
        </is>
      </c>
      <c r="H11" s="51" t="inlineStr">
        <is>
          <t>Link tổng KPI sheet, dashboard link</t>
        </is>
      </c>
    </row>
    <row r="12" ht="70" customHeight="1">
      <c r="A12" s="52" t="inlineStr">
        <is>
          <t>2</t>
        </is>
      </c>
      <c r="B12" s="52" t="inlineStr">
        <is>
          <t>CHẤT LƯỢNG (Quality)</t>
        </is>
      </c>
      <c r="C12" s="53" t="inlineStr">
        <is>
          <t>20%</t>
        </is>
      </c>
      <c r="D12" s="54" t="n">
        <v>5</v>
      </c>
      <c r="E12" s="49" t="inlineStr"/>
      <c r="F12" s="50">
        <f>E13*0.20</f>
        <v/>
      </c>
      <c r="G12" s="55" t="inlineStr">
        <is>
          <t>Spot-check score TB, tỷ lệ bài đạt chuẩn, lỗi phát sinh</t>
        </is>
      </c>
      <c r="H12" s="55" t="inlineStr">
        <is>
          <t>Spot-check records, feedback từ editor</t>
        </is>
      </c>
    </row>
    <row r="13" ht="70" customHeight="1">
      <c r="A13" s="46" t="inlineStr">
        <is>
          <t>3</t>
        </is>
      </c>
      <c r="B13" s="46" t="inlineStr">
        <is>
          <t>THÁI ĐỘ (Attitude)</t>
        </is>
      </c>
      <c r="C13" s="47" t="inlineStr">
        <is>
          <t>15%</t>
        </is>
      </c>
      <c r="D13" s="48" t="n">
        <v>5</v>
      </c>
      <c r="E13" s="49" t="inlineStr"/>
      <c r="F13" s="50">
        <f>E14*0.15</f>
        <v/>
      </c>
      <c r="G13" s="51" t="inlineStr">
        <is>
          <t>Tinh thần team, chủ động, phản hồi, đề xuất cải tiến</t>
        </is>
      </c>
      <c r="H13" s="51" t="inlineStr">
        <is>
          <t>Ghi nhận của Leader/Manager</t>
        </is>
      </c>
    </row>
    <row r="14" ht="70" customHeight="1">
      <c r="A14" s="52" t="inlineStr">
        <is>
          <t>4</t>
        </is>
      </c>
      <c r="B14" s="52" t="inlineStr">
        <is>
          <t>TIẾN ĐỘ (Timeliness)</t>
        </is>
      </c>
      <c r="C14" s="53" t="inlineStr">
        <is>
          <t>15%</t>
        </is>
      </c>
      <c r="D14" s="54" t="n">
        <v>5</v>
      </c>
      <c r="E14" s="49" t="inlineStr"/>
      <c r="F14" s="50">
        <f>E15*0.15</f>
        <v/>
      </c>
      <c r="G14" s="55" t="inlineStr">
        <is>
          <t>% task nộp đúng hạn, số lần trễ deadline, báo cáo trước rủi ro</t>
        </is>
      </c>
      <c r="H14" s="55" t="inlineStr">
        <is>
          <t>Dashboard KPI submission dates</t>
        </is>
      </c>
    </row>
    <row r="15" ht="70" customHeight="1">
      <c r="A15" s="46" t="inlineStr">
        <is>
          <t>5</t>
        </is>
      </c>
      <c r="B15" s="46" t="inlineStr">
        <is>
          <t>CHUYÊN CẦN (Attendance)</t>
        </is>
      </c>
      <c r="C15" s="47" t="inlineStr">
        <is>
          <t>10%</t>
        </is>
      </c>
      <c r="D15" s="48" t="n">
        <v>5</v>
      </c>
      <c r="E15" s="49" t="inlineStr"/>
      <c r="F15" s="50">
        <f>E16*0.10</f>
        <v/>
      </c>
      <c r="G15" s="51" t="inlineStr">
        <is>
          <t>Số ngày nghỉ phép trong tháng (≤2 ngày → điểm tối đa)</t>
        </is>
      </c>
      <c r="H15" s="51" t="inlineStr">
        <is>
          <t>Bảng chấm công tháng</t>
        </is>
      </c>
    </row>
    <row r="16" ht="32" customHeight="1">
      <c r="A16" s="56" t="inlineStr">
        <is>
          <t>TỔNG ĐIỂM KPI THÁNG</t>
        </is>
      </c>
      <c r="C16" s="57" t="inlineStr">
        <is>
          <t>100%</t>
        </is>
      </c>
      <c r="D16" s="57" t="n">
        <v>5</v>
      </c>
      <c r="E16" s="57" t="inlineStr"/>
      <c r="F16" s="58">
        <f>SUM(F11:F15)</f>
        <v/>
      </c>
      <c r="G16" s="59" t="inlineStr"/>
    </row>
    <row r="18" ht="24" customHeight="1">
      <c r="A18" s="60" t="inlineStr">
        <is>
          <t>BẢNG XẾP LOẠI THEO ĐIỂM KPI TỔNG</t>
        </is>
      </c>
    </row>
    <row r="19" ht="26" customHeight="1">
      <c r="A19" s="19" t="inlineStr">
        <is>
          <t>A — XUẤT SẮC</t>
        </is>
      </c>
      <c r="B19" s="19" t="inlineStr">
        <is>
          <t>4.5 – 5.0</t>
        </is>
      </c>
      <c r="C19" s="61" t="inlineStr">
        <is>
          <t>Thưởng hiệu suất, xem xét lên tầng</t>
        </is>
      </c>
    </row>
    <row r="20" ht="26" customHeight="1">
      <c r="A20" s="20" t="inlineStr">
        <is>
          <t>B — TỐT</t>
        </is>
      </c>
      <c r="B20" s="20" t="inlineStr">
        <is>
          <t>3.5 – 4.4</t>
        </is>
      </c>
      <c r="C20" s="62" t="inlineStr">
        <is>
          <t>Hoàn thành tốt, tiếp tục phát huy</t>
        </is>
      </c>
    </row>
    <row r="21" ht="26" customHeight="1">
      <c r="A21" s="63" t="inlineStr">
        <is>
          <t>C — ĐẠT</t>
        </is>
      </c>
      <c r="B21" s="63" t="inlineStr">
        <is>
          <t>2.5 – 3.4</t>
        </is>
      </c>
      <c r="C21" s="64" t="inlineStr">
        <is>
          <t>Đạt yêu cầu cơ bản, cần cải thiện 1-2 tiêu chí</t>
        </is>
      </c>
    </row>
    <row r="22" ht="26" customHeight="1">
      <c r="A22" s="65" t="inlineStr">
        <is>
          <t>D — CẦN CẢI THIỆN</t>
        </is>
      </c>
      <c r="B22" s="65" t="inlineStr">
        <is>
          <t>1.5 – 2.4</t>
        </is>
      </c>
      <c r="C22" s="66" t="inlineStr">
        <is>
          <t>Dưới chuẩn, cần kế hoạch cải thiện rõ ràng</t>
        </is>
      </c>
    </row>
    <row r="23" ht="26" customHeight="1">
      <c r="A23" s="67" t="inlineStr">
        <is>
          <t>F — KHÔNG ĐẠT</t>
        </is>
      </c>
      <c r="B23" s="67" t="inlineStr">
        <is>
          <t>&lt; 1.5</t>
        </is>
      </c>
      <c r="C23" s="68" t="inlineStr">
        <is>
          <t>Xem xét cảnh cáo hoặc điều chỉnh vị trí</t>
        </is>
      </c>
    </row>
    <row r="26" ht="20" customHeight="1">
      <c r="A26" s="69" t="inlineStr">
        <is>
          <t>Nhân viên xác nhận:</t>
        </is>
      </c>
      <c r="E26" s="69" t="inlineStr">
        <is>
          <t>Leader / Manager ký duyệt:</t>
        </is>
      </c>
    </row>
  </sheetData>
  <mergeCells count="20">
    <mergeCell ref="A22"/>
    <mergeCell ref="C22:H22"/>
    <mergeCell ref="A20"/>
    <mergeCell ref="A1:H1"/>
    <mergeCell ref="A19"/>
    <mergeCell ref="C21:H21"/>
    <mergeCell ref="A16:B16"/>
    <mergeCell ref="C23:H23"/>
    <mergeCell ref="B6:D6"/>
    <mergeCell ref="A18:H18"/>
    <mergeCell ref="B5:D5"/>
    <mergeCell ref="C19:H19"/>
    <mergeCell ref="B4:D4"/>
    <mergeCell ref="B7:D7"/>
    <mergeCell ref="B3:D3"/>
    <mergeCell ref="G16:H16"/>
    <mergeCell ref="A21"/>
    <mergeCell ref="C20:H20"/>
    <mergeCell ref="B2:D2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2026-05-31T14:30:25Z</dcterms:created>
  <dcterms:modified xmlns:dcterms="http://purl.org/dc/terms/" xmlns:xsi="http://www.w3.org/2001/XMLSchema-instance" xsi:type="dcterms:W3CDTF">2026-05-31T14:30:25Z</dcterms:modified>
</cp:coreProperties>
</file>