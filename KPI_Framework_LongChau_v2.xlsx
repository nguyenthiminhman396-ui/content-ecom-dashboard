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Viết" sheetId="1" state="visible" r:id="rId1"/>
    <sheet xmlns:r="http://schemas.openxmlformats.org/officeDocument/2006/relationships" name="SảnPhẩm" sheetId="2" state="visible" r:id="rId2"/>
    <sheet xmlns:r="http://schemas.openxmlformats.org/officeDocument/2006/relationships" name="Multim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1A2E"/>
      <sz val="8"/>
    </font>
    <font>
      <name val="Arial"/>
      <b val="1"/>
      <color rgb="001A1A2E"/>
      <sz val="9"/>
    </font>
    <font>
      <name val="Arial"/>
      <b val="1"/>
      <color rgb="00F0FFF4"/>
      <sz val="13"/>
    </font>
    <font>
      <name val="Arial"/>
      <b val="1"/>
      <color rgb="001A1A2E"/>
      <sz val="10"/>
    </font>
    <font>
      <name val="Arial"/>
      <b val="1"/>
      <color rgb="001A1A2E"/>
      <sz val="11"/>
    </font>
    <font>
      <name val="Arial"/>
      <color rgb="00475569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166534"/>
      </patternFill>
    </fill>
    <fill>
      <patternFill patternType="solid">
        <fgColor rgb="009A341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.25" customWidth="1" min="1" max="1"/>
    <col width="38.5" customWidth="1" min="2" max="2"/>
    <col width="9.630000000000001" customWidth="1" min="3" max="3"/>
    <col width="19.25" customWidth="1" min="4" max="4"/>
    <col width="15.75" customWidth="1" min="5" max="5"/>
    <col width="14" customWidth="1" min="6" max="6"/>
    <col width="13" customWidth="1" min="7" max="7"/>
    <col width="28" customWidth="1" min="8" max="8"/>
  </cols>
  <sheetData>
    <row r="1" ht="25.5" customHeight="1">
      <c r="A1" s="1" t="inlineStr">
        <is>
          <t xml:space="preserve">  Content</t>
        </is>
      </c>
    </row>
    <row r="2" ht="21.75" customHeight="1">
      <c r="A2" s="2" t="inlineStr">
        <is>
          <t xml:space="preserve">  Nhóm Bài viết — Long Châu Content</t>
        </is>
      </c>
    </row>
    <row r="4" ht="21.75" customHeight="1">
      <c r="A4" s="3" t="inlineStr">
        <is>
          <t xml:space="preserve">  PHẦN 1 — KPI FRAMEWORK THEO TẦNG VỊ TRÍ</t>
        </is>
      </c>
    </row>
    <row r="5" ht="18" customHeight="1">
      <c r="A5" s="4" t="inlineStr">
        <is>
          <t>Tầng</t>
        </is>
      </c>
      <c r="B5" s="4" t="inlineStr">
        <is>
          <t>KPI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</t>
        </is>
      </c>
      <c r="F5" s="5" t="n"/>
      <c r="G5" s="5" t="n"/>
      <c r="H5" s="4" t="inlineStr">
        <is>
          <t>Triết lý</t>
        </is>
      </c>
    </row>
    <row r="6" ht="19.5" customHeight="1">
      <c r="A6" s="6" t="inlineStr">
        <is>
          <t>STAFF
(Làm đúng &amp; chuẩn)</t>
        </is>
      </c>
      <c r="B6" s="7" t="inlineStr">
        <is>
          <t>Sản lượng điểm KPI đạt được vs target tháng</t>
        </is>
      </c>
      <c r="C6" s="8" t="inlineStr">
        <is>
          <t>50%</t>
        </is>
      </c>
      <c r="D6" s="7" t="inlineStr">
        <is>
          <t>≥ 100% (294đ/tháng)</t>
        </is>
      </c>
      <c r="E6" s="8" t="inlineStr">
        <is>
          <t>Monthly</t>
        </is>
      </c>
      <c r="F6" s="8" t="n"/>
      <c r="G6" s="8" t="n"/>
      <c r="H6" s="8" t="n"/>
    </row>
    <row r="7" ht="19.5" customHeight="1">
      <c r="B7" s="7" t="inlineStr">
        <is>
          <t>Tỷ lệ bài đạt chuẩn chất lượng ngay lần đầu (spot-check)</t>
        </is>
      </c>
      <c r="C7" s="8" t="inlineStr">
        <is>
          <t>30%</t>
        </is>
      </c>
      <c r="D7" s="7" t="inlineStr">
        <is>
          <t>≥ 80%</t>
        </is>
      </c>
      <c r="E7" s="8" t="inlineStr">
        <is>
          <t>Monthly</t>
        </is>
      </c>
      <c r="F7" s="8" t="n"/>
      <c r="G7" s="8" t="n"/>
      <c r="H7" s="8" t="n"/>
    </row>
    <row r="8" ht="19.5" customHeight="1">
      <c r="B8" s="7" t="inlineStr">
        <is>
          <t>Tỷ lệ nộp KPI đúng hạn</t>
        </is>
      </c>
      <c r="C8" s="8" t="inlineStr">
        <is>
          <t>20%</t>
        </is>
      </c>
      <c r="D8" s="7" t="inlineStr">
        <is>
          <t>≥ 95%</t>
        </is>
      </c>
      <c r="E8" s="8" t="inlineStr">
        <is>
          <t>Monthly</t>
        </is>
      </c>
      <c r="F8" s="8" t="n"/>
      <c r="G8" s="8" t="n"/>
      <c r="H8" s="8" t="n"/>
    </row>
    <row r="9" ht="19.5" customHeight="1">
      <c r="A9" s="9" t="inlineStr">
        <is>
          <t>SENIOR
(Tối ưu &amp; cải tiến)</t>
        </is>
      </c>
      <c r="B9" s="10" t="inlineStr">
        <is>
          <t>Sản lượng điểm KPI đạt được vs target tháng</t>
        </is>
      </c>
      <c r="C9" s="11" t="inlineStr">
        <is>
          <t>50%</t>
        </is>
      </c>
      <c r="D9" s="10" t="inlineStr">
        <is>
          <t>≥ 110% (323đ/tháng)</t>
        </is>
      </c>
      <c r="E9" s="11" t="inlineStr">
        <is>
          <t>Monthly</t>
        </is>
      </c>
      <c r="F9" s="11" t="n"/>
      <c r="G9" s="11" t="n"/>
      <c r="H9" s="11" t="n"/>
    </row>
    <row r="10" ht="19.5" customHeight="1">
      <c r="B10" s="10" t="inlineStr">
        <is>
          <t>Điểm spot-check chất lượng trung bình</t>
        </is>
      </c>
      <c r="C10" s="11" t="inlineStr">
        <is>
          <t>35%</t>
        </is>
      </c>
      <c r="D10" s="10" t="inlineStr">
        <is>
          <t>≥ 4.0/5.0</t>
        </is>
      </c>
      <c r="E10" s="11" t="inlineStr">
        <is>
          <t>Monthly</t>
        </is>
      </c>
      <c r="F10" s="11" t="n"/>
      <c r="G10" s="11" t="n"/>
      <c r="H10" s="11" t="n"/>
    </row>
    <row r="11" ht="19.5" customHeight="1">
      <c r="B11" s="10" t="inlineStr">
        <is>
          <t>Số SOP/cải tiến quy trình được team áp dụng</t>
        </is>
      </c>
      <c r="C11" s="11" t="inlineStr">
        <is>
          <t>15%</t>
        </is>
      </c>
      <c r="D11" s="10" t="inlineStr">
        <is>
          <t>≥ 1/quý</t>
        </is>
      </c>
      <c r="E11" s="11" t="inlineStr">
        <is>
          <t>Quarterly</t>
        </is>
      </c>
      <c r="F11" s="11" t="n"/>
      <c r="G11" s="11" t="n"/>
      <c r="H11" s="11" t="n"/>
    </row>
    <row r="12" ht="19.5" customHeight="1">
      <c r="A12" s="12" t="inlineStr">
        <is>
          <t>LEAD / MANAGER
(Outcome &amp; Impact)</t>
        </is>
      </c>
      <c r="B12" s="13" t="inlineStr">
        <is>
          <t>Team KPI attainment rate (% đạt target tổng team)</t>
        </is>
      </c>
      <c r="C12" s="14" t="inlineStr">
        <is>
          <t>55%</t>
        </is>
      </c>
      <c r="D12" s="13" t="inlineStr">
        <is>
          <t>≥ 95%</t>
        </is>
      </c>
      <c r="E12" s="14" t="inlineStr">
        <is>
          <t>Monthly</t>
        </is>
      </c>
      <c r="F12" s="14" t="n"/>
      <c r="G12" s="14" t="n"/>
      <c r="H12" s="14" t="n"/>
    </row>
    <row r="13" ht="19.5" customHeight="1">
      <c r="B13" s="13" t="inlineStr">
        <is>
          <t>Quality score trung bình toàn nhóm (spot-check)</t>
        </is>
      </c>
      <c r="C13" s="14" t="inlineStr">
        <is>
          <t>30%</t>
        </is>
      </c>
      <c r="D13" s="13" t="inlineStr">
        <is>
          <t>≥ 3.8/5.0</t>
        </is>
      </c>
      <c r="E13" s="14" t="inlineStr">
        <is>
          <t>Monthly</t>
        </is>
      </c>
      <c r="F13" s="14" t="n"/>
      <c r="G13" s="14" t="n"/>
      <c r="H13" s="14" t="n"/>
    </row>
    <row r="14" ht="19.5" customHeight="1">
      <c r="B14" s="13" t="inlineStr">
        <is>
          <t>Số R&amp;D log / sáng kiến được triển khai thực tế</t>
        </is>
      </c>
      <c r="C14" s="14" t="inlineStr">
        <is>
          <t>15%</t>
        </is>
      </c>
      <c r="D14" s="13" t="inlineStr">
        <is>
          <t>≥ 2/tháng</t>
        </is>
      </c>
      <c r="E14" s="14" t="inlineStr">
        <is>
          <t>Monthly</t>
        </is>
      </c>
      <c r="F14" s="14" t="n"/>
      <c r="G14" s="14" t="n"/>
      <c r="H14" s="14" t="n"/>
    </row>
    <row r="16" ht="21.75" customHeight="1">
      <c r="A16" s="3" t="inlineStr">
        <is>
          <t xml:space="preserve">  PHẦN 2 — SCORE CARDS MẪU  |  Kỳ đánh giá: Tháng __/2026</t>
        </is>
      </c>
    </row>
    <row r="18" ht="21.75" customHeight="1">
      <c r="A18" s="15" t="inlineStr">
        <is>
          <t xml:space="preserve">  STAFF  —  Score Card</t>
        </is>
      </c>
    </row>
    <row r="19" ht="15.75" customHeight="1">
      <c r="A19" s="16" t="inlineStr">
        <is>
          <t>Họ tên:</t>
        </is>
      </c>
      <c r="B19" s="17" t="inlineStr">
        <is>
          <t>[Họ tên nhân viên]</t>
        </is>
      </c>
      <c r="C19" s="16" t="inlineStr">
        <is>
          <t>Vị trí:</t>
        </is>
      </c>
      <c r="D19" s="17" t="inlineStr">
        <is>
          <t>STAFF</t>
        </is>
      </c>
      <c r="E19" s="16" t="inlineStr">
        <is>
          <t>Phòng/Nhóm:</t>
        </is>
      </c>
      <c r="F19" s="17" t="inlineStr">
        <is>
          <t>Nhóm Bài viết — Long Châu Content</t>
        </is>
      </c>
      <c r="G19" s="16" t="inlineStr">
        <is>
          <t>Kỳ:</t>
        </is>
      </c>
      <c r="H19" s="17" t="inlineStr">
        <is>
          <t>Tháng __/2026</t>
        </is>
      </c>
    </row>
    <row r="20" ht="18" customHeight="1">
      <c r="A20" s="18" t="inlineStr">
        <is>
          <t>STT</t>
        </is>
      </c>
      <c r="B20" s="18" t="inlineStr">
        <is>
          <t>KPI</t>
        </is>
      </c>
      <c r="C20" s="18" t="inlineStr">
        <is>
          <t>Trọng số</t>
        </is>
      </c>
      <c r="D20" s="18" t="inlineStr">
        <is>
          <t>Target (Số)</t>
        </is>
      </c>
      <c r="E20" s="18" t="inlineStr">
        <is>
          <t>Thực tế (Số)</t>
        </is>
      </c>
      <c r="F20" s="18" t="inlineStr">
        <is>
          <t>Achievement %</t>
        </is>
      </c>
      <c r="G20" s="18" t="inlineStr">
        <is>
          <t>Điểm KPI</t>
        </is>
      </c>
      <c r="H20" s="18" t="inlineStr">
        <is>
          <t>Ghi chú</t>
        </is>
      </c>
    </row>
    <row r="21" ht="18" customHeight="1">
      <c r="A21" s="19" t="n">
        <v>1</v>
      </c>
      <c r="B21" s="20" t="inlineStr">
        <is>
          <t>Sản lượng điểm KPI đạt được vs target tháng</t>
        </is>
      </c>
      <c r="C21" s="19" t="n">
        <v>0.5</v>
      </c>
      <c r="D21" s="19" t="n">
        <v>100</v>
      </c>
      <c r="E21" s="19" t="n"/>
      <c r="F21" s="19">
        <f>IF(D21=0,0,MIN(E21/D21*100,120))</f>
        <v/>
      </c>
      <c r="G21" s="19">
        <f>F21*C21</f>
        <v/>
      </c>
      <c r="H21" s="19" t="inlineStr"/>
    </row>
    <row r="22" ht="18" customHeight="1">
      <c r="A22" s="21" t="n">
        <v>2</v>
      </c>
      <c r="B22" s="22" t="inlineStr">
        <is>
          <t>Tỷ lệ bài đạt chuẩn chất lượng ngay lần đầu (%)</t>
        </is>
      </c>
      <c r="C22" s="21" t="n">
        <v>0.3</v>
      </c>
      <c r="D22" s="21" t="n">
        <v>80</v>
      </c>
      <c r="E22" s="21" t="n"/>
      <c r="F22" s="21">
        <f>IF(D22=0,0,MIN(E22/D22*100,120))</f>
        <v/>
      </c>
      <c r="G22" s="21">
        <f>F22*C22</f>
        <v/>
      </c>
      <c r="H22" s="21" t="inlineStr"/>
    </row>
    <row r="23" ht="18" customHeight="1">
      <c r="A23" s="19" t="n">
        <v>3</v>
      </c>
      <c r="B23" s="20" t="inlineStr">
        <is>
          <t>Tỷ lệ nộp KPI đúng hạn (%)</t>
        </is>
      </c>
      <c r="C23" s="19" t="n">
        <v>0.2</v>
      </c>
      <c r="D23" s="19" t="n">
        <v>95</v>
      </c>
      <c r="E23" s="19" t="n"/>
      <c r="F23" s="19">
        <f>IF(D23=0,0,MIN(E23/D23*100,120))</f>
        <v/>
      </c>
      <c r="G23" s="19">
        <f>F23*C23</f>
        <v/>
      </c>
      <c r="H23" s="19" t="inlineStr"/>
    </row>
    <row r="24" ht="21.75" customHeight="1">
      <c r="A24" s="3" t="inlineStr">
        <is>
          <t>TỔNG ĐIỂM</t>
        </is>
      </c>
      <c r="G24" s="23">
        <f>SUM(G21:G23)</f>
        <v/>
      </c>
      <c r="H24" s="24" t="n"/>
    </row>
    <row r="25" ht="21.75" customHeight="1">
      <c r="A25" s="25" t="inlineStr">
        <is>
          <t>XẾP LOẠI ĐÁNH GIÁ</t>
        </is>
      </c>
      <c r="G25" s="26">
        <f>IF(G24&gt;=100,"★  OUTSTANDING",IF(G24&gt;=90,"▲  EXCEED EXPECTATIONS",IF(G24&gt;=80,"✔  MEETS EXPECTATIONS","✘  BELOW EXPECTATIONS")))</f>
        <v/>
      </c>
    </row>
    <row r="26" ht="19.5" customHeight="1">
      <c r="A26" s="27" t="inlineStr">
        <is>
          <t>Ghi chú Manager:</t>
        </is>
      </c>
      <c r="C26" s="28" t="inlineStr"/>
    </row>
    <row r="28" ht="21.75" customHeight="1">
      <c r="A28" s="29" t="inlineStr">
        <is>
          <t xml:space="preserve">  SENIOR  —  Score Card</t>
        </is>
      </c>
    </row>
    <row r="29" ht="15.75" customHeight="1">
      <c r="A29" s="16" t="inlineStr">
        <is>
          <t>Họ tên:</t>
        </is>
      </c>
      <c r="B29" s="17" t="inlineStr">
        <is>
          <t>[Họ tên nhân viên]</t>
        </is>
      </c>
      <c r="C29" s="16" t="inlineStr">
        <is>
          <t>Vị trí:</t>
        </is>
      </c>
      <c r="D29" s="17" t="inlineStr">
        <is>
          <t>SENIOR</t>
        </is>
      </c>
      <c r="E29" s="16" t="inlineStr">
        <is>
          <t>Phòng/Nhóm:</t>
        </is>
      </c>
      <c r="F29" s="17" t="inlineStr">
        <is>
          <t>Nhóm Bài viết — Long Châu Content</t>
        </is>
      </c>
      <c r="G29" s="16" t="inlineStr">
        <is>
          <t>Kỳ:</t>
        </is>
      </c>
      <c r="H29" s="17" t="inlineStr">
        <is>
          <t>Tháng __/2026</t>
        </is>
      </c>
    </row>
    <row r="30" ht="18" customHeight="1">
      <c r="A30" s="18" t="inlineStr">
        <is>
          <t>STT</t>
        </is>
      </c>
      <c r="B30" s="18" t="inlineStr">
        <is>
          <t>KPI</t>
        </is>
      </c>
      <c r="C30" s="18" t="inlineStr">
        <is>
          <t>Trọng số</t>
        </is>
      </c>
      <c r="D30" s="18" t="inlineStr">
        <is>
          <t>Target (Số)</t>
        </is>
      </c>
      <c r="E30" s="18" t="inlineStr">
        <is>
          <t>Thực tế (Số)</t>
        </is>
      </c>
      <c r="F30" s="18" t="inlineStr">
        <is>
          <t>Achievement %</t>
        </is>
      </c>
      <c r="G30" s="18" t="inlineStr">
        <is>
          <t>Điểm KPI</t>
        </is>
      </c>
      <c r="H30" s="18" t="inlineStr">
        <is>
          <t>Ghi chú</t>
        </is>
      </c>
    </row>
    <row r="31" ht="18" customHeight="1">
      <c r="A31" s="19" t="n">
        <v>1</v>
      </c>
      <c r="B31" s="20" t="inlineStr">
        <is>
          <t>Sản lượng điểm KPI đạt được vs target tháng (%)</t>
        </is>
      </c>
      <c r="C31" s="19" t="n">
        <v>0.5</v>
      </c>
      <c r="D31" s="19" t="n">
        <v>110</v>
      </c>
      <c r="E31" s="19" t="n"/>
      <c r="F31" s="19">
        <f>IF(D31=0,0,MIN(E31/D31*100,120))</f>
        <v/>
      </c>
      <c r="G31" s="19">
        <f>F31*C31</f>
        <v/>
      </c>
      <c r="H31" s="19" t="inlineStr"/>
    </row>
    <row r="32" ht="18" customHeight="1">
      <c r="A32" s="21" t="n">
        <v>2</v>
      </c>
      <c r="B32" s="22" t="inlineStr">
        <is>
          <t>Điểm spot-check chất lượng trung bình (/5.0 → quy ra %)</t>
        </is>
      </c>
      <c r="C32" s="21" t="n">
        <v>0.35</v>
      </c>
      <c r="D32" s="21" t="n">
        <v>80</v>
      </c>
      <c r="E32" s="21" t="n"/>
      <c r="F32" s="21">
        <f>IF(D32=0,0,MIN(E32/D32*100,120))</f>
        <v/>
      </c>
      <c r="G32" s="21">
        <f>F32*C32</f>
        <v/>
      </c>
      <c r="H32" s="21" t="inlineStr"/>
    </row>
    <row r="33" ht="18" customHeight="1">
      <c r="A33" s="19" t="n">
        <v>3</v>
      </c>
      <c r="B33" s="20" t="inlineStr">
        <is>
          <t>Số SOP/cải tiến team áp dụng (target=1 → quy ra %)</t>
        </is>
      </c>
      <c r="C33" s="19" t="n">
        <v>0.15</v>
      </c>
      <c r="D33" s="19" t="n">
        <v>100</v>
      </c>
      <c r="E33" s="19" t="n"/>
      <c r="F33" s="19">
        <f>IF(D33=0,0,MIN(E33/D33*100,120))</f>
        <v/>
      </c>
      <c r="G33" s="19">
        <f>F33*C33</f>
        <v/>
      </c>
      <c r="H33" s="19" t="inlineStr"/>
    </row>
    <row r="34" ht="21.75" customHeight="1">
      <c r="A34" s="3" t="inlineStr">
        <is>
          <t>TỔNG ĐIỂM</t>
        </is>
      </c>
      <c r="G34" s="23">
        <f>SUM(G31:G33)</f>
        <v/>
      </c>
      <c r="H34" s="24" t="n"/>
    </row>
    <row r="35" ht="21.75" customHeight="1">
      <c r="A35" s="25" t="inlineStr">
        <is>
          <t>XẾP LOẠI ĐÁNH GIÁ</t>
        </is>
      </c>
      <c r="G35" s="26">
        <f>IF(G34&gt;=100,"★  OUTSTANDING",IF(G34&gt;=90,"▲  EXCEED EXPECTATIONS",IF(G34&gt;=80,"✔  MEETS EXPECTATIONS","✘  BELOW EXPECTATIONS")))</f>
        <v/>
      </c>
    </row>
    <row r="36" ht="19.5" customHeight="1">
      <c r="A36" s="27" t="inlineStr">
        <is>
          <t>Ghi chú Manager:</t>
        </is>
      </c>
      <c r="C36" s="28" t="inlineStr"/>
    </row>
    <row r="38" ht="21.75" customHeight="1">
      <c r="A38" s="30" t="inlineStr">
        <is>
          <t xml:space="preserve">  LEAD / MANAGER  —  Score Card</t>
        </is>
      </c>
    </row>
    <row r="39" ht="15.75" customHeight="1">
      <c r="A39" s="16" t="inlineStr">
        <is>
          <t>Họ tên:</t>
        </is>
      </c>
      <c r="B39" s="17" t="inlineStr">
        <is>
          <t>[Họ tên nhân viên]</t>
        </is>
      </c>
      <c r="C39" s="16" t="inlineStr">
        <is>
          <t>Vị trí:</t>
        </is>
      </c>
      <c r="D39" s="17" t="inlineStr">
        <is>
          <t>LEAD</t>
        </is>
      </c>
      <c r="E39" s="16" t="inlineStr">
        <is>
          <t>Phòng/Nhóm:</t>
        </is>
      </c>
      <c r="F39" s="17" t="inlineStr">
        <is>
          <t>Nhóm Bài viết — Long Châu Content</t>
        </is>
      </c>
      <c r="G39" s="16" t="inlineStr">
        <is>
          <t>Kỳ:</t>
        </is>
      </c>
      <c r="H39" s="17" t="inlineStr">
        <is>
          <t>Tháng __/2026</t>
        </is>
      </c>
    </row>
    <row r="40" ht="18" customHeight="1">
      <c r="A40" s="18" t="inlineStr">
        <is>
          <t>STT</t>
        </is>
      </c>
      <c r="B40" s="18" t="inlineStr">
        <is>
          <t>KPI</t>
        </is>
      </c>
      <c r="C40" s="18" t="inlineStr">
        <is>
          <t>Trọng số</t>
        </is>
      </c>
      <c r="D40" s="18" t="inlineStr">
        <is>
          <t>Target (Số)</t>
        </is>
      </c>
      <c r="E40" s="18" t="inlineStr">
        <is>
          <t>Thực tế (Số)</t>
        </is>
      </c>
      <c r="F40" s="18" t="inlineStr">
        <is>
          <t>Achievement %</t>
        </is>
      </c>
      <c r="G40" s="18" t="inlineStr">
        <is>
          <t>Điểm KPI</t>
        </is>
      </c>
      <c r="H40" s="18" t="inlineStr">
        <is>
          <t>Ghi chú</t>
        </is>
      </c>
    </row>
    <row r="41" ht="18" customHeight="1">
      <c r="A41" s="19" t="n">
        <v>1</v>
      </c>
      <c r="B41" s="20" t="inlineStr">
        <is>
          <t>Team KPI attainment rate (%)</t>
        </is>
      </c>
      <c r="C41" s="19" t="n">
        <v>0.55</v>
      </c>
      <c r="D41" s="19" t="n">
        <v>95</v>
      </c>
      <c r="E41" s="19" t="n"/>
      <c r="F41" s="19">
        <f>IF(D41=0,0,MIN(E41/D41*100,120))</f>
        <v/>
      </c>
      <c r="G41" s="19">
        <f>F41*C41</f>
        <v/>
      </c>
      <c r="H41" s="19" t="inlineStr"/>
    </row>
    <row r="42" ht="18" customHeight="1">
      <c r="A42" s="21" t="n">
        <v>2</v>
      </c>
      <c r="B42" s="22" t="inlineStr">
        <is>
          <t>Quality score trung bình toàn nhóm (quy ra %)</t>
        </is>
      </c>
      <c r="C42" s="21" t="n">
        <v>0.3</v>
      </c>
      <c r="D42" s="21" t="n">
        <v>76</v>
      </c>
      <c r="E42" s="21" t="n"/>
      <c r="F42" s="21">
        <f>IF(D42=0,0,MIN(E42/D42*100,120))</f>
        <v/>
      </c>
      <c r="G42" s="21">
        <f>F42*C42</f>
        <v/>
      </c>
      <c r="H42" s="21" t="inlineStr"/>
    </row>
    <row r="43" ht="18" customHeight="1">
      <c r="A43" s="19" t="n">
        <v>3</v>
      </c>
      <c r="B43" s="20" t="inlineStr">
        <is>
          <t>Số R&amp;D log triển khai (target=2/tháng → quy ra %)</t>
        </is>
      </c>
      <c r="C43" s="19" t="n">
        <v>0.15</v>
      </c>
      <c r="D43" s="19" t="n">
        <v>100</v>
      </c>
      <c r="E43" s="19" t="n"/>
      <c r="F43" s="19">
        <f>IF(D43=0,0,MIN(E43/D43*100,120))</f>
        <v/>
      </c>
      <c r="G43" s="19">
        <f>F43*C43</f>
        <v/>
      </c>
      <c r="H43" s="19" t="inlineStr"/>
    </row>
    <row r="44" ht="21.75" customHeight="1">
      <c r="A44" s="3" t="inlineStr">
        <is>
          <t>TỔNG ĐIỂM</t>
        </is>
      </c>
      <c r="G44" s="23">
        <f>SUM(G41:G43)</f>
        <v/>
      </c>
      <c r="H44" s="24" t="n"/>
    </row>
    <row r="45" ht="21.75" customHeight="1">
      <c r="A45" s="25" t="inlineStr">
        <is>
          <t>XẾP LOẠI ĐÁNH GIÁ</t>
        </is>
      </c>
      <c r="G45" s="26">
        <f>IF(G44&gt;=100,"★  OUTSTANDING",IF(G44&gt;=90,"▲  EXCEED EXPECTATIONS",IF(G44&gt;=80,"✔  MEETS EXPECTATIONS","✘  BELOW EXPECTATIONS")))</f>
        <v/>
      </c>
    </row>
    <row r="46" ht="19.5" customHeight="1">
      <c r="A46" s="27" t="inlineStr">
        <is>
          <t>Ghi chú Manager:</t>
        </is>
      </c>
      <c r="C46" s="28" t="inlineStr"/>
    </row>
  </sheetData>
  <mergeCells count="25">
    <mergeCell ref="A12:A14"/>
    <mergeCell ref="A36:B36"/>
    <mergeCell ref="A1:H1"/>
    <mergeCell ref="C46:H46"/>
    <mergeCell ref="C36:H36"/>
    <mergeCell ref="A16:H16"/>
    <mergeCell ref="A46:B46"/>
    <mergeCell ref="A35:F35"/>
    <mergeCell ref="A9:A11"/>
    <mergeCell ref="A18:H18"/>
    <mergeCell ref="A26:B26"/>
    <mergeCell ref="A44:F44"/>
    <mergeCell ref="A2:H2"/>
    <mergeCell ref="A34:F34"/>
    <mergeCell ref="G45:H45"/>
    <mergeCell ref="A6:A8"/>
    <mergeCell ref="A24:F24"/>
    <mergeCell ref="A4:H4"/>
    <mergeCell ref="G35:H35"/>
    <mergeCell ref="A38:H38"/>
    <mergeCell ref="A45:F45"/>
    <mergeCell ref="G25:H25"/>
    <mergeCell ref="A28:H28"/>
    <mergeCell ref="C26:H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.25" customWidth="1" min="1" max="1"/>
    <col width="38.5" customWidth="1" min="2" max="2"/>
    <col width="9.630000000000001" customWidth="1" min="3" max="3"/>
    <col width="19.25" customWidth="1" min="4" max="4"/>
    <col width="15.75" customWidth="1" min="5" max="5"/>
    <col width="14" customWidth="1" min="6" max="6"/>
    <col width="13" customWidth="1" min="7" max="7"/>
    <col width="28" customWidth="1" min="8" max="8"/>
  </cols>
  <sheetData>
    <row r="1" ht="25.5" customHeight="1">
      <c r="A1" s="1" t="inlineStr">
        <is>
          <t xml:space="preserve">  Content</t>
        </is>
      </c>
    </row>
    <row r="2" ht="21.75" customHeight="1">
      <c r="A2" s="2" t="inlineStr">
        <is>
          <t xml:space="preserve">  Nhóm Sản phẩm — Long Châu Content</t>
        </is>
      </c>
    </row>
    <row r="4" ht="21.75" customHeight="1">
      <c r="A4" s="3" t="inlineStr">
        <is>
          <t xml:space="preserve">  PHẦN 1 — KPI FRAMEWORK THEO TẦNG VỊ TRÍ</t>
        </is>
      </c>
    </row>
    <row r="5" ht="18" customHeight="1">
      <c r="A5" s="4" t="inlineStr">
        <is>
          <t>Tầng</t>
        </is>
      </c>
      <c r="B5" s="4" t="inlineStr">
        <is>
          <t>KPI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</t>
        </is>
      </c>
      <c r="F5" s="5" t="n"/>
      <c r="G5" s="5" t="n"/>
      <c r="H5" s="4" t="inlineStr">
        <is>
          <t>Triết lý</t>
        </is>
      </c>
    </row>
    <row r="6" ht="19.5" customHeight="1">
      <c r="A6" s="6" t="inlineStr">
        <is>
          <t>STAFF
(Làm đúng &amp; chuẩn)</t>
        </is>
      </c>
      <c r="B6" s="7" t="inlineStr">
        <is>
          <t>Sản lượng điểm KPI đạt được vs target tháng</t>
        </is>
      </c>
      <c r="C6" s="8" t="inlineStr">
        <is>
          <t>50%</t>
        </is>
      </c>
      <c r="D6" s="7" t="inlineStr">
        <is>
          <t>≥ 100% (294đ/tháng)</t>
        </is>
      </c>
      <c r="E6" s="8" t="inlineStr">
        <is>
          <t>Monthly</t>
        </is>
      </c>
      <c r="F6" s="8" t="n"/>
      <c r="G6" s="8" t="n"/>
      <c r="H6" s="8" t="n"/>
    </row>
    <row r="7" ht="19.5" customHeight="1">
      <c r="B7" s="7" t="inlineStr">
        <is>
          <t>Tỷ lệ sản phẩm không có lỗi thông tin sau publish</t>
        </is>
      </c>
      <c r="C7" s="8" t="inlineStr">
        <is>
          <t>30%</t>
        </is>
      </c>
      <c r="D7" s="7" t="inlineStr">
        <is>
          <t>≥ 99%</t>
        </is>
      </c>
      <c r="E7" s="8" t="inlineStr">
        <is>
          <t>Monthly</t>
        </is>
      </c>
      <c r="F7" s="8" t="n"/>
      <c r="G7" s="8" t="n"/>
      <c r="H7" s="8" t="n"/>
    </row>
    <row r="8" ht="19.5" customHeight="1">
      <c r="B8" s="7" t="inlineStr">
        <is>
          <t>Tỷ lệ upload/cập nhật sản phẩm đúng lịch</t>
        </is>
      </c>
      <c r="C8" s="8" t="inlineStr">
        <is>
          <t>20%</t>
        </is>
      </c>
      <c r="D8" s="7" t="inlineStr">
        <is>
          <t>≥ 95%</t>
        </is>
      </c>
      <c r="E8" s="8" t="inlineStr">
        <is>
          <t>Monthly</t>
        </is>
      </c>
      <c r="F8" s="8" t="n"/>
      <c r="G8" s="8" t="n"/>
      <c r="H8" s="8" t="n"/>
    </row>
    <row r="9" ht="19.5" customHeight="1">
      <c r="A9" s="9" t="inlineStr">
        <is>
          <t>SENIOR
(Tối ưu &amp; cải tiến)</t>
        </is>
      </c>
      <c r="B9" s="10" t="inlineStr">
        <is>
          <t>Sản lượng điểm KPI đạt được vs target tháng</t>
        </is>
      </c>
      <c r="C9" s="11" t="inlineStr">
        <is>
          <t>50%</t>
        </is>
      </c>
      <c r="D9" s="10" t="inlineStr">
        <is>
          <t>≥ 110% (323đ/tháng)</t>
        </is>
      </c>
      <c r="E9" s="11" t="inlineStr">
        <is>
          <t>Monthly</t>
        </is>
      </c>
      <c r="F9" s="11" t="n"/>
      <c r="G9" s="11" t="n"/>
      <c r="H9" s="11" t="n"/>
    </row>
    <row r="10" ht="19.5" customHeight="1">
      <c r="B10" s="10" t="inlineStr">
        <is>
          <t>Tỷ lệ sản phẩm không có lỗi thông tin (zero defect)</t>
        </is>
      </c>
      <c r="C10" s="11" t="inlineStr">
        <is>
          <t>35%</t>
        </is>
      </c>
      <c r="D10" s="10" t="inlineStr">
        <is>
          <t>100%</t>
        </is>
      </c>
      <c r="E10" s="11" t="inlineStr">
        <is>
          <t>Monthly</t>
        </is>
      </c>
      <c r="F10" s="11" t="n"/>
      <c r="G10" s="11" t="n"/>
      <c r="H10" s="11" t="n"/>
    </row>
    <row r="11" ht="19.5" customHeight="1">
      <c r="B11" s="10" t="inlineStr">
        <is>
          <t>Số cải tiến template/quy trình được áp dụng</t>
        </is>
      </c>
      <c r="C11" s="11" t="inlineStr">
        <is>
          <t>15%</t>
        </is>
      </c>
      <c r="D11" s="10" t="inlineStr">
        <is>
          <t>≥ 1/quý</t>
        </is>
      </c>
      <c r="E11" s="11" t="inlineStr">
        <is>
          <t>Quarterly</t>
        </is>
      </c>
      <c r="F11" s="11" t="n"/>
      <c r="G11" s="11" t="n"/>
      <c r="H11" s="11" t="n"/>
    </row>
    <row r="12" ht="19.5" customHeight="1">
      <c r="A12" s="12" t="inlineStr">
        <is>
          <t>LEAD / MANAGER
(Outcome &amp; Impact)</t>
        </is>
      </c>
      <c r="B12" s="13" t="inlineStr">
        <is>
          <t>Team KPI attainment rate (% đạt target tổng team)</t>
        </is>
      </c>
      <c r="C12" s="14" t="inlineStr">
        <is>
          <t>55%</t>
        </is>
      </c>
      <c r="D12" s="13" t="inlineStr">
        <is>
          <t>≥ 95%</t>
        </is>
      </c>
      <c r="E12" s="14" t="inlineStr">
        <is>
          <t>Monthly</t>
        </is>
      </c>
      <c r="F12" s="14" t="n"/>
      <c r="G12" s="14" t="n"/>
      <c r="H12" s="14" t="n"/>
    </row>
    <row r="13" ht="19.5" customHeight="1">
      <c r="B13" s="13" t="inlineStr">
        <is>
          <t>Catalog accuracy — tỷ lệ sản phẩm không lỗi sau QA</t>
        </is>
      </c>
      <c r="C13" s="14" t="inlineStr">
        <is>
          <t>30%</t>
        </is>
      </c>
      <c r="D13" s="13" t="inlineStr">
        <is>
          <t>≥ 99%</t>
        </is>
      </c>
      <c r="E13" s="14" t="inlineStr">
        <is>
          <t>Monthly</t>
        </is>
      </c>
      <c r="F13" s="14" t="n"/>
      <c r="G13" s="14" t="n"/>
      <c r="H13" s="14" t="n"/>
    </row>
    <row r="14" ht="19.5" customHeight="1">
      <c r="B14" s="13" t="inlineStr">
        <is>
          <t>Tiến độ upload catalog on-time</t>
        </is>
      </c>
      <c r="C14" s="14" t="inlineStr">
        <is>
          <t>15%</t>
        </is>
      </c>
      <c r="D14" s="13" t="inlineStr">
        <is>
          <t>≥ 95%</t>
        </is>
      </c>
      <c r="E14" s="14" t="inlineStr">
        <is>
          <t>Monthly</t>
        </is>
      </c>
      <c r="F14" s="14" t="n"/>
      <c r="G14" s="14" t="n"/>
      <c r="H14" s="14" t="n"/>
    </row>
    <row r="16" ht="21.75" customHeight="1">
      <c r="A16" s="3" t="inlineStr">
        <is>
          <t xml:space="preserve">  PHẦN 2 — SCORE CARDS MẪU  |  Kỳ đánh giá: Tháng __/2026</t>
        </is>
      </c>
    </row>
    <row r="18" ht="21.75" customHeight="1">
      <c r="A18" s="15" t="inlineStr">
        <is>
          <t xml:space="preserve">  STAFF  —  Score Card</t>
        </is>
      </c>
    </row>
    <row r="19" ht="15.75" customHeight="1">
      <c r="A19" s="16" t="inlineStr">
        <is>
          <t>Họ tên:</t>
        </is>
      </c>
      <c r="B19" s="17" t="inlineStr">
        <is>
          <t>[Họ tên nhân viên]</t>
        </is>
      </c>
      <c r="C19" s="16" t="inlineStr">
        <is>
          <t>Vị trí:</t>
        </is>
      </c>
      <c r="D19" s="17" t="inlineStr">
        <is>
          <t>STAFF</t>
        </is>
      </c>
      <c r="E19" s="16" t="inlineStr">
        <is>
          <t>Phòng/Nhóm:</t>
        </is>
      </c>
      <c r="F19" s="17" t="inlineStr">
        <is>
          <t>Nhóm Sản phẩm — Long Châu Content</t>
        </is>
      </c>
      <c r="G19" s="16" t="inlineStr">
        <is>
          <t>Kỳ:</t>
        </is>
      </c>
      <c r="H19" s="17" t="inlineStr">
        <is>
          <t>Tháng __/2026</t>
        </is>
      </c>
    </row>
    <row r="20" ht="18" customHeight="1">
      <c r="A20" s="18" t="inlineStr">
        <is>
          <t>STT</t>
        </is>
      </c>
      <c r="B20" s="18" t="inlineStr">
        <is>
          <t>KPI</t>
        </is>
      </c>
      <c r="C20" s="18" t="inlineStr">
        <is>
          <t>Trọng số</t>
        </is>
      </c>
      <c r="D20" s="18" t="inlineStr">
        <is>
          <t>Target (Số)</t>
        </is>
      </c>
      <c r="E20" s="18" t="inlineStr">
        <is>
          <t>Thực tế (Số)</t>
        </is>
      </c>
      <c r="F20" s="18" t="inlineStr">
        <is>
          <t>Achievement %</t>
        </is>
      </c>
      <c r="G20" s="18" t="inlineStr">
        <is>
          <t>Điểm KPI</t>
        </is>
      </c>
      <c r="H20" s="18" t="inlineStr">
        <is>
          <t>Ghi chú</t>
        </is>
      </c>
    </row>
    <row r="21" ht="18" customHeight="1">
      <c r="A21" s="19" t="n">
        <v>1</v>
      </c>
      <c r="B21" s="20" t="inlineStr">
        <is>
          <t>Sản lượng điểm KPI đạt được vs target tháng (%)</t>
        </is>
      </c>
      <c r="C21" s="19" t="n">
        <v>0.5</v>
      </c>
      <c r="D21" s="19" t="n">
        <v>100</v>
      </c>
      <c r="E21" s="19" t="n"/>
      <c r="F21" s="19">
        <f>IF(D21=0,0,MIN(E21/D21*100,120))</f>
        <v/>
      </c>
      <c r="G21" s="19">
        <f>F21*C21</f>
        <v/>
      </c>
      <c r="H21" s="19" t="inlineStr"/>
    </row>
    <row r="22" ht="18" customHeight="1">
      <c r="A22" s="21" t="n">
        <v>2</v>
      </c>
      <c r="B22" s="22" t="inlineStr">
        <is>
          <t>Tỷ lệ sản phẩm không lỗi sau publish (%)</t>
        </is>
      </c>
      <c r="C22" s="21" t="n">
        <v>0.3</v>
      </c>
      <c r="D22" s="21" t="n">
        <v>99</v>
      </c>
      <c r="E22" s="21" t="n"/>
      <c r="F22" s="21">
        <f>IF(D22=0,0,MIN(E22/D22*100,120))</f>
        <v/>
      </c>
      <c r="G22" s="21">
        <f>F22*C22</f>
        <v/>
      </c>
      <c r="H22" s="21" t="inlineStr"/>
    </row>
    <row r="23" ht="18" customHeight="1">
      <c r="A23" s="19" t="n">
        <v>3</v>
      </c>
      <c r="B23" s="20" t="inlineStr">
        <is>
          <t>Tỷ lệ upload đúng lịch (%)</t>
        </is>
      </c>
      <c r="C23" s="19" t="n">
        <v>0.2</v>
      </c>
      <c r="D23" s="19" t="n">
        <v>95</v>
      </c>
      <c r="E23" s="19" t="n"/>
      <c r="F23" s="19">
        <f>IF(D23=0,0,MIN(E23/D23*100,120))</f>
        <v/>
      </c>
      <c r="G23" s="19">
        <f>F23*C23</f>
        <v/>
      </c>
      <c r="H23" s="19" t="inlineStr"/>
    </row>
    <row r="24" ht="21.75" customHeight="1">
      <c r="A24" s="3" t="inlineStr">
        <is>
          <t>TỔNG ĐIỂM</t>
        </is>
      </c>
      <c r="G24" s="23">
        <f>SUM(G21:G23)</f>
        <v/>
      </c>
      <c r="H24" s="24" t="n"/>
    </row>
    <row r="25" ht="21.75" customHeight="1">
      <c r="A25" s="25" t="inlineStr">
        <is>
          <t>XẾP LOẠI ĐÁNH GIÁ</t>
        </is>
      </c>
      <c r="G25" s="26">
        <f>IF(G24&gt;=100,"★  OUTSTANDING",IF(G24&gt;=90,"▲  EXCEED EXPECTATIONS",IF(G24&gt;=80,"✔  MEETS EXPECTATIONS","✘  BELOW EXPECTATIONS")))</f>
        <v/>
      </c>
    </row>
    <row r="26" ht="19.5" customHeight="1">
      <c r="A26" s="27" t="inlineStr">
        <is>
          <t>Ghi chú Manager:</t>
        </is>
      </c>
      <c r="C26" s="28" t="inlineStr"/>
    </row>
    <row r="28" ht="21.75" customHeight="1">
      <c r="A28" s="29" t="inlineStr">
        <is>
          <t xml:space="preserve">  SENIOR  —  Score Card</t>
        </is>
      </c>
    </row>
    <row r="29" ht="15.75" customHeight="1">
      <c r="A29" s="16" t="inlineStr">
        <is>
          <t>Họ tên:</t>
        </is>
      </c>
      <c r="B29" s="17" t="inlineStr">
        <is>
          <t>[Họ tên nhân viên]</t>
        </is>
      </c>
      <c r="C29" s="16" t="inlineStr">
        <is>
          <t>Vị trí:</t>
        </is>
      </c>
      <c r="D29" s="17" t="inlineStr">
        <is>
          <t>SENIOR</t>
        </is>
      </c>
      <c r="E29" s="16" t="inlineStr">
        <is>
          <t>Phòng/Nhóm:</t>
        </is>
      </c>
      <c r="F29" s="17" t="inlineStr">
        <is>
          <t>Nhóm Sản phẩm — Long Châu Content</t>
        </is>
      </c>
      <c r="G29" s="16" t="inlineStr">
        <is>
          <t>Kỳ:</t>
        </is>
      </c>
      <c r="H29" s="17" t="inlineStr">
        <is>
          <t>Tháng __/2026</t>
        </is>
      </c>
    </row>
    <row r="30" ht="18" customHeight="1">
      <c r="A30" s="18" t="inlineStr">
        <is>
          <t>STT</t>
        </is>
      </c>
      <c r="B30" s="18" t="inlineStr">
        <is>
          <t>KPI</t>
        </is>
      </c>
      <c r="C30" s="18" t="inlineStr">
        <is>
          <t>Trọng số</t>
        </is>
      </c>
      <c r="D30" s="18" t="inlineStr">
        <is>
          <t>Target (Số)</t>
        </is>
      </c>
      <c r="E30" s="18" t="inlineStr">
        <is>
          <t>Thực tế (Số)</t>
        </is>
      </c>
      <c r="F30" s="18" t="inlineStr">
        <is>
          <t>Achievement %</t>
        </is>
      </c>
      <c r="G30" s="18" t="inlineStr">
        <is>
          <t>Điểm KPI</t>
        </is>
      </c>
      <c r="H30" s="18" t="inlineStr">
        <is>
          <t>Ghi chú</t>
        </is>
      </c>
    </row>
    <row r="31" ht="18" customHeight="1">
      <c r="A31" s="19" t="n">
        <v>1</v>
      </c>
      <c r="B31" s="20" t="inlineStr">
        <is>
          <t>Sản lượng điểm KPI đạt được vs target tháng (%)</t>
        </is>
      </c>
      <c r="C31" s="19" t="n">
        <v>0.5</v>
      </c>
      <c r="D31" s="19" t="n">
        <v>110</v>
      </c>
      <c r="E31" s="19" t="n"/>
      <c r="F31" s="19">
        <f>IF(D31=0,0,MIN(E31/D31*100,120))</f>
        <v/>
      </c>
      <c r="G31" s="19">
        <f>F31*C31</f>
        <v/>
      </c>
      <c r="H31" s="19" t="inlineStr"/>
    </row>
    <row r="32" ht="18" customHeight="1">
      <c r="A32" s="21" t="n">
        <v>2</v>
      </c>
      <c r="B32" s="22" t="inlineStr">
        <is>
          <t>Tỷ lệ sản phẩm zero lỗi thông tin (%)</t>
        </is>
      </c>
      <c r="C32" s="21" t="n">
        <v>0.35</v>
      </c>
      <c r="D32" s="21" t="n">
        <v>100</v>
      </c>
      <c r="E32" s="21" t="n"/>
      <c r="F32" s="21">
        <f>IF(D32=0,0,MIN(E32/D32*100,120))</f>
        <v/>
      </c>
      <c r="G32" s="21">
        <f>F32*C32</f>
        <v/>
      </c>
      <c r="H32" s="21" t="inlineStr"/>
    </row>
    <row r="33" ht="18" customHeight="1">
      <c r="A33" s="19" t="n">
        <v>3</v>
      </c>
      <c r="B33" s="20" t="inlineStr">
        <is>
          <t>Số cải tiến template áp dụng (target=1 → quy ra %)</t>
        </is>
      </c>
      <c r="C33" s="19" t="n">
        <v>0.15</v>
      </c>
      <c r="D33" s="19" t="n">
        <v>100</v>
      </c>
      <c r="E33" s="19" t="n"/>
      <c r="F33" s="19">
        <f>IF(D33=0,0,MIN(E33/D33*100,120))</f>
        <v/>
      </c>
      <c r="G33" s="19">
        <f>F33*C33</f>
        <v/>
      </c>
      <c r="H33" s="19" t="inlineStr"/>
    </row>
    <row r="34" ht="21.75" customHeight="1">
      <c r="A34" s="3" t="inlineStr">
        <is>
          <t>TỔNG ĐIỂM</t>
        </is>
      </c>
      <c r="G34" s="23">
        <f>SUM(G31:G33)</f>
        <v/>
      </c>
      <c r="H34" s="24" t="n"/>
    </row>
    <row r="35" ht="21.75" customHeight="1">
      <c r="A35" s="25" t="inlineStr">
        <is>
          <t>XẾP LOẠI ĐÁNH GIÁ</t>
        </is>
      </c>
      <c r="G35" s="26">
        <f>IF(G34&gt;=100,"★  OUTSTANDING",IF(G34&gt;=90,"▲  EXCEED EXPECTATIONS",IF(G34&gt;=80,"✔  MEETS EXPECTATIONS","✘  BELOW EXPECTATIONS")))</f>
        <v/>
      </c>
    </row>
    <row r="36" ht="19.5" customHeight="1">
      <c r="A36" s="27" t="inlineStr">
        <is>
          <t>Ghi chú Manager:</t>
        </is>
      </c>
      <c r="C36" s="28" t="inlineStr"/>
    </row>
    <row r="38" ht="21.75" customHeight="1">
      <c r="A38" s="30" t="inlineStr">
        <is>
          <t xml:space="preserve">  LEAD / MANAGER  —  Score Card</t>
        </is>
      </c>
    </row>
    <row r="39" ht="15.75" customHeight="1">
      <c r="A39" s="16" t="inlineStr">
        <is>
          <t>Họ tên:</t>
        </is>
      </c>
      <c r="B39" s="17" t="inlineStr">
        <is>
          <t>[Họ tên nhân viên]</t>
        </is>
      </c>
      <c r="C39" s="16" t="inlineStr">
        <is>
          <t>Vị trí:</t>
        </is>
      </c>
      <c r="D39" s="17" t="inlineStr">
        <is>
          <t>LEAD</t>
        </is>
      </c>
      <c r="E39" s="16" t="inlineStr">
        <is>
          <t>Phòng/Nhóm:</t>
        </is>
      </c>
      <c r="F39" s="17" t="inlineStr">
        <is>
          <t>Nhóm Sản phẩm — Long Châu Content</t>
        </is>
      </c>
      <c r="G39" s="16" t="inlineStr">
        <is>
          <t>Kỳ:</t>
        </is>
      </c>
      <c r="H39" s="17" t="inlineStr">
        <is>
          <t>Tháng __/2026</t>
        </is>
      </c>
    </row>
    <row r="40" ht="18" customHeight="1">
      <c r="A40" s="18" t="inlineStr">
        <is>
          <t>STT</t>
        </is>
      </c>
      <c r="B40" s="18" t="inlineStr">
        <is>
          <t>KPI</t>
        </is>
      </c>
      <c r="C40" s="18" t="inlineStr">
        <is>
          <t>Trọng số</t>
        </is>
      </c>
      <c r="D40" s="18" t="inlineStr">
        <is>
          <t>Target (Số)</t>
        </is>
      </c>
      <c r="E40" s="18" t="inlineStr">
        <is>
          <t>Thực tế (Số)</t>
        </is>
      </c>
      <c r="F40" s="18" t="inlineStr">
        <is>
          <t>Achievement %</t>
        </is>
      </c>
      <c r="G40" s="18" t="inlineStr">
        <is>
          <t>Điểm KPI</t>
        </is>
      </c>
      <c r="H40" s="18" t="inlineStr">
        <is>
          <t>Ghi chú</t>
        </is>
      </c>
    </row>
    <row r="41" ht="18" customHeight="1">
      <c r="A41" s="19" t="n">
        <v>1</v>
      </c>
      <c r="B41" s="20" t="inlineStr">
        <is>
          <t>Team KPI attainment rate (%)</t>
        </is>
      </c>
      <c r="C41" s="19" t="n">
        <v>0.55</v>
      </c>
      <c r="D41" s="19" t="n">
        <v>95</v>
      </c>
      <c r="E41" s="19" t="n"/>
      <c r="F41" s="19">
        <f>IF(D41=0,0,MIN(E41/D41*100,120))</f>
        <v/>
      </c>
      <c r="G41" s="19">
        <f>F41*C41</f>
        <v/>
      </c>
      <c r="H41" s="19" t="inlineStr"/>
    </row>
    <row r="42" ht="18" customHeight="1">
      <c r="A42" s="21" t="n">
        <v>2</v>
      </c>
      <c r="B42" s="22" t="inlineStr">
        <is>
          <t>Catalog accuracy sau QA (%)</t>
        </is>
      </c>
      <c r="C42" s="21" t="n">
        <v>0.3</v>
      </c>
      <c r="D42" s="21" t="n">
        <v>99</v>
      </c>
      <c r="E42" s="21" t="n"/>
      <c r="F42" s="21">
        <f>IF(D42=0,0,MIN(E42/D42*100,120))</f>
        <v/>
      </c>
      <c r="G42" s="21">
        <f>F42*C42</f>
        <v/>
      </c>
      <c r="H42" s="21" t="inlineStr"/>
    </row>
    <row r="43" ht="18" customHeight="1">
      <c r="A43" s="19" t="n">
        <v>3</v>
      </c>
      <c r="B43" s="20" t="inlineStr">
        <is>
          <t>Tiến độ upload on-time (%)</t>
        </is>
      </c>
      <c r="C43" s="19" t="n">
        <v>0.15</v>
      </c>
      <c r="D43" s="19" t="n">
        <v>95</v>
      </c>
      <c r="E43" s="19" t="n"/>
      <c r="F43" s="19">
        <f>IF(D43=0,0,MIN(E43/D43*100,120))</f>
        <v/>
      </c>
      <c r="G43" s="19">
        <f>F43*C43</f>
        <v/>
      </c>
      <c r="H43" s="19" t="inlineStr"/>
    </row>
    <row r="44" ht="21.75" customHeight="1">
      <c r="A44" s="3" t="inlineStr">
        <is>
          <t>TỔNG ĐIỂM</t>
        </is>
      </c>
      <c r="G44" s="23">
        <f>SUM(G41:G43)</f>
        <v/>
      </c>
      <c r="H44" s="24" t="n"/>
    </row>
    <row r="45" ht="21.75" customHeight="1">
      <c r="A45" s="25" t="inlineStr">
        <is>
          <t>XẾP LOẠI ĐÁNH GIÁ</t>
        </is>
      </c>
      <c r="G45" s="26">
        <f>IF(G44&gt;=100,"★  OUTSTANDING",IF(G44&gt;=90,"▲  EXCEED EXPECTATIONS",IF(G44&gt;=80,"✔  MEETS EXPECTATIONS","✘  BELOW EXPECTATIONS")))</f>
        <v/>
      </c>
    </row>
    <row r="46" ht="19.5" customHeight="1">
      <c r="A46" s="27" t="inlineStr">
        <is>
          <t>Ghi chú Manager:</t>
        </is>
      </c>
      <c r="C46" s="28" t="inlineStr"/>
    </row>
  </sheetData>
  <mergeCells count="25">
    <mergeCell ref="A12:A14"/>
    <mergeCell ref="A36:B36"/>
    <mergeCell ref="A1:H1"/>
    <mergeCell ref="C46:H46"/>
    <mergeCell ref="C36:H36"/>
    <mergeCell ref="A16:H16"/>
    <mergeCell ref="A46:B46"/>
    <mergeCell ref="A35:F35"/>
    <mergeCell ref="A9:A11"/>
    <mergeCell ref="A18:H18"/>
    <mergeCell ref="A26:B26"/>
    <mergeCell ref="A44:F44"/>
    <mergeCell ref="A2:H2"/>
    <mergeCell ref="A34:F34"/>
    <mergeCell ref="G45:H45"/>
    <mergeCell ref="A6:A8"/>
    <mergeCell ref="A24:F24"/>
    <mergeCell ref="A4:H4"/>
    <mergeCell ref="G35:H35"/>
    <mergeCell ref="A38:H38"/>
    <mergeCell ref="A45:F45"/>
    <mergeCell ref="G25:H25"/>
    <mergeCell ref="A28:H28"/>
    <mergeCell ref="C26:H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.25" customWidth="1" min="1" max="1"/>
    <col width="38.5" customWidth="1" min="2" max="2"/>
    <col width="9.630000000000001" customWidth="1" min="3" max="3"/>
    <col width="19.25" customWidth="1" min="4" max="4"/>
    <col width="15.75" customWidth="1" min="5" max="5"/>
    <col width="14" customWidth="1" min="6" max="6"/>
    <col width="13" customWidth="1" min="7" max="7"/>
    <col width="28" customWidth="1" min="8" max="8"/>
  </cols>
  <sheetData>
    <row r="1" ht="25.5" customHeight="1">
      <c r="A1" s="1" t="inlineStr">
        <is>
          <t xml:space="preserve">  Content</t>
        </is>
      </c>
    </row>
    <row r="2" ht="21.75" customHeight="1">
      <c r="A2" s="2" t="inlineStr">
        <is>
          <t xml:space="preserve">  Nhóm Multimedia &amp; Tin nhanh — Long Châu Content</t>
        </is>
      </c>
    </row>
    <row r="4" ht="21.75" customHeight="1">
      <c r="A4" s="3" t="inlineStr">
        <is>
          <t xml:space="preserve">  PHẦN 1 — KPI FRAMEWORK THEO TẦNG VỊ TRÍ</t>
        </is>
      </c>
    </row>
    <row r="5" ht="18" customHeight="1">
      <c r="A5" s="4" t="inlineStr">
        <is>
          <t>Tầng</t>
        </is>
      </c>
      <c r="B5" s="4" t="inlineStr">
        <is>
          <t>KPI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</t>
        </is>
      </c>
      <c r="F5" s="5" t="n"/>
      <c r="G5" s="5" t="n"/>
      <c r="H5" s="4" t="inlineStr">
        <is>
          <t>Triết lý</t>
        </is>
      </c>
    </row>
    <row r="6" ht="19.5" customHeight="1">
      <c r="A6" s="6" t="inlineStr">
        <is>
          <t>STAFF
(Làm đúng &amp; chuẩn)</t>
        </is>
      </c>
      <c r="B6" s="7" t="inlineStr">
        <is>
          <t>Sản lượng điểm KPI đạt được vs target tháng</t>
        </is>
      </c>
      <c r="C6" s="8" t="inlineStr">
        <is>
          <t>50%</t>
        </is>
      </c>
      <c r="D6" s="7" t="inlineStr">
        <is>
          <t>≥ 100% (294đ/tháng)</t>
        </is>
      </c>
      <c r="E6" s="8" t="inlineStr">
        <is>
          <t>Monthly</t>
        </is>
      </c>
      <c r="F6" s="8" t="n"/>
      <c r="G6" s="8" t="n"/>
      <c r="H6" s="8" t="n"/>
    </row>
    <row r="7" ht="19.5" customHeight="1">
      <c r="B7" s="7" t="inlineStr">
        <is>
          <t>Tỷ lệ publish nội dung đúng lịch đăng</t>
        </is>
      </c>
      <c r="C7" s="8" t="inlineStr">
        <is>
          <t>30%</t>
        </is>
      </c>
      <c r="D7" s="7" t="inlineStr">
        <is>
          <t>≥ 90%</t>
        </is>
      </c>
      <c r="E7" s="8" t="inlineStr">
        <is>
          <t>Monthly</t>
        </is>
      </c>
      <c r="F7" s="8" t="n"/>
      <c r="G7" s="8" t="n"/>
      <c r="H7" s="8" t="n"/>
    </row>
    <row r="8" ht="19.5" customHeight="1">
      <c r="B8" s="7" t="inlineStr">
        <is>
          <t>Số lỗi thông tin y tế phát sinh (zero = đạt)</t>
        </is>
      </c>
      <c r="C8" s="8" t="inlineStr">
        <is>
          <t>20%</t>
        </is>
      </c>
      <c r="D8" s="7" t="inlineStr">
        <is>
          <t>0 lỗi/tháng</t>
        </is>
      </c>
      <c r="E8" s="8" t="inlineStr">
        <is>
          <t>Monthly</t>
        </is>
      </c>
      <c r="F8" s="8" t="n"/>
      <c r="G8" s="8" t="n"/>
      <c r="H8" s="8" t="n"/>
    </row>
    <row r="9" ht="19.5" customHeight="1">
      <c r="A9" s="9" t="inlineStr">
        <is>
          <t>SENIOR
(Tối ưu &amp; cải tiến)</t>
        </is>
      </c>
      <c r="B9" s="10" t="inlineStr">
        <is>
          <t>Sản lượng điểm KPI đạt được vs target tháng</t>
        </is>
      </c>
      <c r="C9" s="11" t="inlineStr">
        <is>
          <t>50%</t>
        </is>
      </c>
      <c r="D9" s="10" t="inlineStr">
        <is>
          <t>≥ 110% (323đ/tháng)</t>
        </is>
      </c>
      <c r="E9" s="11" t="inlineStr">
        <is>
          <t>Monthly</t>
        </is>
      </c>
      <c r="F9" s="11" t="n"/>
      <c r="G9" s="11" t="n"/>
      <c r="H9" s="11" t="n"/>
    </row>
    <row r="10" ht="19.5" customHeight="1">
      <c r="B10" s="10" t="inlineStr">
        <is>
          <t>Engagement rate trung bình nội dung phụ trách</t>
        </is>
      </c>
      <c r="C10" s="11" t="inlineStr">
        <is>
          <t>35%</t>
        </is>
      </c>
      <c r="D10" s="10" t="inlineStr">
        <is>
          <t>≥ 3%</t>
        </is>
      </c>
      <c r="E10" s="11" t="inlineStr">
        <is>
          <t>Monthly</t>
        </is>
      </c>
      <c r="F10" s="11" t="n"/>
      <c r="G10" s="11" t="n"/>
      <c r="H10" s="11" t="n"/>
    </row>
    <row r="11" ht="19.5" customHeight="1">
      <c r="B11" s="10" t="inlineStr">
        <is>
          <t>Số format/concept nội dung mới được áp dụng</t>
        </is>
      </c>
      <c r="C11" s="11" t="inlineStr">
        <is>
          <t>15%</t>
        </is>
      </c>
      <c r="D11" s="10" t="inlineStr">
        <is>
          <t>≥ 1/tháng</t>
        </is>
      </c>
      <c r="E11" s="11" t="inlineStr">
        <is>
          <t>Monthly</t>
        </is>
      </c>
      <c r="F11" s="11" t="n"/>
      <c r="G11" s="11" t="n"/>
      <c r="H11" s="11" t="n"/>
    </row>
    <row r="12" ht="19.5" customHeight="1">
      <c r="A12" s="12" t="inlineStr">
        <is>
          <t>LEAD / MANAGER
(Outcome &amp; Impact)</t>
        </is>
      </c>
      <c r="B12" s="13" t="inlineStr">
        <is>
          <t>Team KPI attainment rate (% đạt target tổng team)</t>
        </is>
      </c>
      <c r="C12" s="14" t="inlineStr">
        <is>
          <t>55%</t>
        </is>
      </c>
      <c r="D12" s="13" t="inlineStr">
        <is>
          <t>≥ 95%</t>
        </is>
      </c>
      <c r="E12" s="14" t="inlineStr">
        <is>
          <t>Monthly</t>
        </is>
      </c>
      <c r="F12" s="14" t="n"/>
      <c r="G12" s="14" t="n"/>
      <c r="H12" s="14" t="n"/>
    </row>
    <row r="13" ht="19.5" customHeight="1">
      <c r="B13" s="13" t="inlineStr">
        <is>
          <t>Engagement rate trung bình toàn team content</t>
        </is>
      </c>
      <c r="C13" s="14" t="inlineStr">
        <is>
          <t>30%</t>
        </is>
      </c>
      <c r="D13" s="13" t="inlineStr">
        <is>
          <t>≥ 4%</t>
        </is>
      </c>
      <c r="E13" s="14" t="inlineStr">
        <is>
          <t>Monthly</t>
        </is>
      </c>
      <c r="F13" s="14" t="n"/>
      <c r="G13" s="14" t="n"/>
      <c r="H13" s="14" t="n"/>
    </row>
    <row r="14" ht="19.5" customHeight="1">
      <c r="B14" s="13" t="inlineStr">
        <is>
          <t>Số R&amp;D log / sáng kiến multimedia được triển khai</t>
        </is>
      </c>
      <c r="C14" s="14" t="inlineStr">
        <is>
          <t>15%</t>
        </is>
      </c>
      <c r="D14" s="13" t="inlineStr">
        <is>
          <t>≥ 2/tháng</t>
        </is>
      </c>
      <c r="E14" s="14" t="inlineStr">
        <is>
          <t>Monthly</t>
        </is>
      </c>
      <c r="F14" s="14" t="n"/>
      <c r="G14" s="14" t="n"/>
      <c r="H14" s="14" t="n"/>
    </row>
    <row r="16" ht="21.75" customHeight="1">
      <c r="A16" s="3" t="inlineStr">
        <is>
          <t xml:space="preserve">  PHẦN 2 — SCORE CARDS MẪU  |  Kỳ đánh giá: Tháng __/2026</t>
        </is>
      </c>
    </row>
    <row r="18" ht="21.75" customHeight="1">
      <c r="A18" s="15" t="inlineStr">
        <is>
          <t xml:space="preserve">  STAFF  —  Score Card</t>
        </is>
      </c>
    </row>
    <row r="19" ht="15.75" customHeight="1">
      <c r="A19" s="16" t="inlineStr">
        <is>
          <t>Họ tên:</t>
        </is>
      </c>
      <c r="B19" s="17" t="inlineStr">
        <is>
          <t>[Họ tên nhân viên]</t>
        </is>
      </c>
      <c r="C19" s="16" t="inlineStr">
        <is>
          <t>Vị trí:</t>
        </is>
      </c>
      <c r="D19" s="17" t="inlineStr">
        <is>
          <t>STAFF</t>
        </is>
      </c>
      <c r="E19" s="16" t="inlineStr">
        <is>
          <t>Phòng/Nhóm:</t>
        </is>
      </c>
      <c r="F19" s="17" t="inlineStr">
        <is>
          <t>Nhóm Multimedia &amp; Tin nhanh — Long Châu Content</t>
        </is>
      </c>
      <c r="G19" s="16" t="inlineStr">
        <is>
          <t>Kỳ:</t>
        </is>
      </c>
      <c r="H19" s="17" t="inlineStr">
        <is>
          <t>Tháng __/2026</t>
        </is>
      </c>
    </row>
    <row r="20" ht="18" customHeight="1">
      <c r="A20" s="18" t="inlineStr">
        <is>
          <t>STT</t>
        </is>
      </c>
      <c r="B20" s="18" t="inlineStr">
        <is>
          <t>KPI</t>
        </is>
      </c>
      <c r="C20" s="18" t="inlineStr">
        <is>
          <t>Trọng số</t>
        </is>
      </c>
      <c r="D20" s="18" t="inlineStr">
        <is>
          <t>Target (Số)</t>
        </is>
      </c>
      <c r="E20" s="18" t="inlineStr">
        <is>
          <t>Thực tế (Số)</t>
        </is>
      </c>
      <c r="F20" s="18" t="inlineStr">
        <is>
          <t>Achievement %</t>
        </is>
      </c>
      <c r="G20" s="18" t="inlineStr">
        <is>
          <t>Điểm KPI</t>
        </is>
      </c>
      <c r="H20" s="18" t="inlineStr">
        <is>
          <t>Ghi chú</t>
        </is>
      </c>
    </row>
    <row r="21" ht="18" customHeight="1">
      <c r="A21" s="19" t="n">
        <v>1</v>
      </c>
      <c r="B21" s="20" t="inlineStr">
        <is>
          <t>Sản lượng điểm KPI đạt được vs target tháng (%)</t>
        </is>
      </c>
      <c r="C21" s="19" t="n">
        <v>0.5</v>
      </c>
      <c r="D21" s="19" t="n">
        <v>100</v>
      </c>
      <c r="E21" s="19" t="n"/>
      <c r="F21" s="19">
        <f>IF(D21=0,0,MIN(E21/D21*100,120))</f>
        <v/>
      </c>
      <c r="G21" s="19">
        <f>F21*C21</f>
        <v/>
      </c>
      <c r="H21" s="19" t="inlineStr"/>
    </row>
    <row r="22" ht="18" customHeight="1">
      <c r="A22" s="21" t="n">
        <v>2</v>
      </c>
      <c r="B22" s="22" t="inlineStr">
        <is>
          <t>Tỷ lệ publish đúng lịch (%)</t>
        </is>
      </c>
      <c r="C22" s="21" t="n">
        <v>0.3</v>
      </c>
      <c r="D22" s="21" t="n">
        <v>90</v>
      </c>
      <c r="E22" s="21" t="n"/>
      <c r="F22" s="21">
        <f>IF(D22=0,0,MIN(E22/D22*100,120))</f>
        <v/>
      </c>
      <c r="G22" s="21">
        <f>F22*C22</f>
        <v/>
      </c>
      <c r="H22" s="21" t="inlineStr"/>
    </row>
    <row r="23" ht="18" customHeight="1">
      <c r="A23" s="19" t="n">
        <v>3</v>
      </c>
      <c r="B23" s="20" t="inlineStr">
        <is>
          <t>Không lỗi thông tin y tế: 0 lỗi = 100%, &gt;0 lỗi = 0%</t>
        </is>
      </c>
      <c r="C23" s="19" t="n">
        <v>0.2</v>
      </c>
      <c r="D23" s="19" t="n">
        <v>100</v>
      </c>
      <c r="E23" s="19" t="n"/>
      <c r="F23" s="19">
        <f>IF(D23=0,0,MIN(E23/D23*100,120))</f>
        <v/>
      </c>
      <c r="G23" s="19">
        <f>F23*C23</f>
        <v/>
      </c>
      <c r="H23" s="19" t="inlineStr"/>
    </row>
    <row r="24" ht="21.75" customHeight="1">
      <c r="A24" s="3" t="inlineStr">
        <is>
          <t>TỔNG ĐIỂM</t>
        </is>
      </c>
      <c r="G24" s="23">
        <f>SUM(G21:G23)</f>
        <v/>
      </c>
      <c r="H24" s="24" t="n"/>
    </row>
    <row r="25" ht="21.75" customHeight="1">
      <c r="A25" s="25" t="inlineStr">
        <is>
          <t>XẾP LOẠI ĐÁNH GIÁ</t>
        </is>
      </c>
      <c r="G25" s="26">
        <f>IF(G24&gt;=100,"★  OUTSTANDING",IF(G24&gt;=90,"▲  EXCEED EXPECTATIONS",IF(G24&gt;=80,"✔  MEETS EXPECTATIONS","✘  BELOW EXPECTATIONS")))</f>
        <v/>
      </c>
    </row>
    <row r="26" ht="19.5" customHeight="1">
      <c r="A26" s="27" t="inlineStr">
        <is>
          <t>Ghi chú Manager:</t>
        </is>
      </c>
      <c r="C26" s="28" t="inlineStr"/>
    </row>
    <row r="28" ht="21.75" customHeight="1">
      <c r="A28" s="29" t="inlineStr">
        <is>
          <t xml:space="preserve">  SENIOR  —  Score Card</t>
        </is>
      </c>
    </row>
    <row r="29" ht="15.75" customHeight="1">
      <c r="A29" s="16" t="inlineStr">
        <is>
          <t>Họ tên:</t>
        </is>
      </c>
      <c r="B29" s="17" t="inlineStr">
        <is>
          <t>[Họ tên nhân viên]</t>
        </is>
      </c>
      <c r="C29" s="16" t="inlineStr">
        <is>
          <t>Vị trí:</t>
        </is>
      </c>
      <c r="D29" s="17" t="inlineStr">
        <is>
          <t>SENIOR</t>
        </is>
      </c>
      <c r="E29" s="16" t="inlineStr">
        <is>
          <t>Phòng/Nhóm:</t>
        </is>
      </c>
      <c r="F29" s="17" t="inlineStr">
        <is>
          <t>Nhóm Multimedia &amp; Tin nhanh — Long Châu Content</t>
        </is>
      </c>
      <c r="G29" s="16" t="inlineStr">
        <is>
          <t>Kỳ:</t>
        </is>
      </c>
      <c r="H29" s="17" t="inlineStr">
        <is>
          <t>Tháng __/2026</t>
        </is>
      </c>
    </row>
    <row r="30" ht="18" customHeight="1">
      <c r="A30" s="18" t="inlineStr">
        <is>
          <t>STT</t>
        </is>
      </c>
      <c r="B30" s="18" t="inlineStr">
        <is>
          <t>KPI</t>
        </is>
      </c>
      <c r="C30" s="18" t="inlineStr">
        <is>
          <t>Trọng số</t>
        </is>
      </c>
      <c r="D30" s="18" t="inlineStr">
        <is>
          <t>Target (Số)</t>
        </is>
      </c>
      <c r="E30" s="18" t="inlineStr">
        <is>
          <t>Thực tế (Số)</t>
        </is>
      </c>
      <c r="F30" s="18" t="inlineStr">
        <is>
          <t>Achievement %</t>
        </is>
      </c>
      <c r="G30" s="18" t="inlineStr">
        <is>
          <t>Điểm KPI</t>
        </is>
      </c>
      <c r="H30" s="18" t="inlineStr">
        <is>
          <t>Ghi chú</t>
        </is>
      </c>
    </row>
    <row r="31" ht="18" customHeight="1">
      <c r="A31" s="19" t="n">
        <v>1</v>
      </c>
      <c r="B31" s="20" t="inlineStr">
        <is>
          <t>Sản lượng điểm KPI đạt được vs target tháng (%)</t>
        </is>
      </c>
      <c r="C31" s="19" t="n">
        <v>0.5</v>
      </c>
      <c r="D31" s="19" t="n">
        <v>110</v>
      </c>
      <c r="E31" s="19" t="n"/>
      <c r="F31" s="19">
        <f>IF(D31=0,0,MIN(E31/D31*100,120))</f>
        <v/>
      </c>
      <c r="G31" s="19">
        <f>F31*C31</f>
        <v/>
      </c>
      <c r="H31" s="19" t="inlineStr"/>
    </row>
    <row r="32" ht="18" customHeight="1">
      <c r="A32" s="21" t="n">
        <v>2</v>
      </c>
      <c r="B32" s="22" t="inlineStr">
        <is>
          <t>Engagement rate TB (%)</t>
        </is>
      </c>
      <c r="C32" s="21" t="n">
        <v>0.35</v>
      </c>
      <c r="D32" s="21" t="n">
        <v>3</v>
      </c>
      <c r="E32" s="21" t="n"/>
      <c r="F32" s="21">
        <f>IF(D32=0,0,MIN(E32/D32*100,120))</f>
        <v/>
      </c>
      <c r="G32" s="21">
        <f>F32*C32</f>
        <v/>
      </c>
      <c r="H32" s="21" t="inlineStr"/>
    </row>
    <row r="33" ht="18" customHeight="1">
      <c r="A33" s="19" t="n">
        <v>3</v>
      </c>
      <c r="B33" s="20" t="inlineStr">
        <is>
          <t>Số format mới áp dụng (target=1 → quy ra %)</t>
        </is>
      </c>
      <c r="C33" s="19" t="n">
        <v>0.15</v>
      </c>
      <c r="D33" s="19" t="n">
        <v>100</v>
      </c>
      <c r="E33" s="19" t="n"/>
      <c r="F33" s="19">
        <f>IF(D33=0,0,MIN(E33/D33*100,120))</f>
        <v/>
      </c>
      <c r="G33" s="19">
        <f>F33*C33</f>
        <v/>
      </c>
      <c r="H33" s="19" t="inlineStr"/>
    </row>
    <row r="34" ht="21.75" customHeight="1">
      <c r="A34" s="3" t="inlineStr">
        <is>
          <t>TỔNG ĐIỂM</t>
        </is>
      </c>
      <c r="G34" s="23">
        <f>SUM(G31:G33)</f>
        <v/>
      </c>
      <c r="H34" s="24" t="n"/>
    </row>
    <row r="35" ht="21.75" customHeight="1">
      <c r="A35" s="25" t="inlineStr">
        <is>
          <t>XẾP LOẠI ĐÁNH GIÁ</t>
        </is>
      </c>
      <c r="G35" s="26">
        <f>IF(G34&gt;=100,"★  OUTSTANDING",IF(G34&gt;=90,"▲  EXCEED EXPECTATIONS",IF(G34&gt;=80,"✔  MEETS EXPECTATIONS","✘  BELOW EXPECTATIONS")))</f>
        <v/>
      </c>
    </row>
    <row r="36" ht="19.5" customHeight="1">
      <c r="A36" s="27" t="inlineStr">
        <is>
          <t>Ghi chú Manager:</t>
        </is>
      </c>
      <c r="C36" s="28" t="inlineStr"/>
    </row>
    <row r="38" ht="21.75" customHeight="1">
      <c r="A38" s="30" t="inlineStr">
        <is>
          <t xml:space="preserve">  LEAD / MANAGER  —  Score Card</t>
        </is>
      </c>
    </row>
    <row r="39" ht="15.75" customHeight="1">
      <c r="A39" s="16" t="inlineStr">
        <is>
          <t>Họ tên:</t>
        </is>
      </c>
      <c r="B39" s="17" t="inlineStr">
        <is>
          <t>[Họ tên nhân viên]</t>
        </is>
      </c>
      <c r="C39" s="16" t="inlineStr">
        <is>
          <t>Vị trí:</t>
        </is>
      </c>
      <c r="D39" s="17" t="inlineStr">
        <is>
          <t>LEAD</t>
        </is>
      </c>
      <c r="E39" s="16" t="inlineStr">
        <is>
          <t>Phòng/Nhóm:</t>
        </is>
      </c>
      <c r="F39" s="17" t="inlineStr">
        <is>
          <t>Nhóm Multimedia &amp; Tin nhanh — Long Châu Content</t>
        </is>
      </c>
      <c r="G39" s="16" t="inlineStr">
        <is>
          <t>Kỳ:</t>
        </is>
      </c>
      <c r="H39" s="17" t="inlineStr">
        <is>
          <t>Tháng __/2026</t>
        </is>
      </c>
    </row>
    <row r="40" ht="18" customHeight="1">
      <c r="A40" s="18" t="inlineStr">
        <is>
          <t>STT</t>
        </is>
      </c>
      <c r="B40" s="18" t="inlineStr">
        <is>
          <t>KPI</t>
        </is>
      </c>
      <c r="C40" s="18" t="inlineStr">
        <is>
          <t>Trọng số</t>
        </is>
      </c>
      <c r="D40" s="18" t="inlineStr">
        <is>
          <t>Target (Số)</t>
        </is>
      </c>
      <c r="E40" s="18" t="inlineStr">
        <is>
          <t>Thực tế (Số)</t>
        </is>
      </c>
      <c r="F40" s="18" t="inlineStr">
        <is>
          <t>Achievement %</t>
        </is>
      </c>
      <c r="G40" s="18" t="inlineStr">
        <is>
          <t>Điểm KPI</t>
        </is>
      </c>
      <c r="H40" s="18" t="inlineStr">
        <is>
          <t>Ghi chú</t>
        </is>
      </c>
    </row>
    <row r="41" ht="18" customHeight="1">
      <c r="A41" s="19" t="n">
        <v>1</v>
      </c>
      <c r="B41" s="20" t="inlineStr">
        <is>
          <t>Team KPI attainment rate (%)</t>
        </is>
      </c>
      <c r="C41" s="19" t="n">
        <v>0.55</v>
      </c>
      <c r="D41" s="19" t="n">
        <v>95</v>
      </c>
      <c r="E41" s="19" t="n"/>
      <c r="F41" s="19">
        <f>IF(D41=0,0,MIN(E41/D41*100,120))</f>
        <v/>
      </c>
      <c r="G41" s="19">
        <f>F41*C41</f>
        <v/>
      </c>
      <c r="H41" s="19" t="inlineStr"/>
    </row>
    <row r="42" ht="18" customHeight="1">
      <c r="A42" s="21" t="n">
        <v>2</v>
      </c>
      <c r="B42" s="22" t="inlineStr">
        <is>
          <t>Engagement rate TB toàn team (%)</t>
        </is>
      </c>
      <c r="C42" s="21" t="n">
        <v>0.3</v>
      </c>
      <c r="D42" s="21" t="n">
        <v>4</v>
      </c>
      <c r="E42" s="21" t="n"/>
      <c r="F42" s="21">
        <f>IF(D42=0,0,MIN(E42/D42*100,120))</f>
        <v/>
      </c>
      <c r="G42" s="21">
        <f>F42*C42</f>
        <v/>
      </c>
      <c r="H42" s="21" t="inlineStr"/>
    </row>
    <row r="43" ht="18" customHeight="1">
      <c r="A43" s="19" t="n">
        <v>3</v>
      </c>
      <c r="B43" s="20" t="inlineStr">
        <is>
          <t>Số R&amp;D log triển khai (target=2/tháng → quy ra %)</t>
        </is>
      </c>
      <c r="C43" s="19" t="n">
        <v>0.15</v>
      </c>
      <c r="D43" s="19" t="n">
        <v>100</v>
      </c>
      <c r="E43" s="19" t="n"/>
      <c r="F43" s="19">
        <f>IF(D43=0,0,MIN(E43/D43*100,120))</f>
        <v/>
      </c>
      <c r="G43" s="19">
        <f>F43*C43</f>
        <v/>
      </c>
      <c r="H43" s="19" t="inlineStr"/>
    </row>
    <row r="44" ht="21.75" customHeight="1">
      <c r="A44" s="3" t="inlineStr">
        <is>
          <t>TỔNG ĐIỂM</t>
        </is>
      </c>
      <c r="G44" s="23">
        <f>SUM(G41:G43)</f>
        <v/>
      </c>
      <c r="H44" s="24" t="n"/>
    </row>
    <row r="45" ht="21.75" customHeight="1">
      <c r="A45" s="25" t="inlineStr">
        <is>
          <t>XẾP LOẠI ĐÁNH GIÁ</t>
        </is>
      </c>
      <c r="G45" s="26">
        <f>IF(G44&gt;=100,"★  OUTSTANDING",IF(G44&gt;=90,"▲  EXCEED EXPECTATIONS",IF(G44&gt;=80,"✔  MEETS EXPECTATIONS","✘  BELOW EXPECTATIONS")))</f>
        <v/>
      </c>
    </row>
    <row r="46" ht="19.5" customHeight="1">
      <c r="A46" s="27" t="inlineStr">
        <is>
          <t>Ghi chú Manager:</t>
        </is>
      </c>
      <c r="C46" s="28" t="inlineStr"/>
    </row>
  </sheetData>
  <mergeCells count="25">
    <mergeCell ref="A12:A14"/>
    <mergeCell ref="A36:B36"/>
    <mergeCell ref="A1:H1"/>
    <mergeCell ref="C46:H46"/>
    <mergeCell ref="C36:H36"/>
    <mergeCell ref="A16:H16"/>
    <mergeCell ref="A46:B46"/>
    <mergeCell ref="A35:F35"/>
    <mergeCell ref="A9:A11"/>
    <mergeCell ref="A18:H18"/>
    <mergeCell ref="A26:B26"/>
    <mergeCell ref="A44:F44"/>
    <mergeCell ref="A2:H2"/>
    <mergeCell ref="A34:F34"/>
    <mergeCell ref="G45:H45"/>
    <mergeCell ref="A6:A8"/>
    <mergeCell ref="A24:F24"/>
    <mergeCell ref="A4:H4"/>
    <mergeCell ref="G35:H35"/>
    <mergeCell ref="A38:H38"/>
    <mergeCell ref="A45:F45"/>
    <mergeCell ref="G25:H25"/>
    <mergeCell ref="A28:H28"/>
    <mergeCell ref="C26:H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2026-05-31T14:39:33Z</dcterms:created>
  <dcterms:modified xmlns:dcterms="http://purl.org/dc/terms/" xmlns:xsi="http://www.w3.org/2001/XMLSchema-instance" xsi:type="dcterms:W3CDTF">2026-05-31T14:39:33Z</dcterms:modified>
</cp:coreProperties>
</file>