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Articles" sheetId="1" state="visible" r:id="rId1"/>
    <sheet xmlns:r="http://schemas.openxmlformats.org/officeDocument/2006/relationships" name="Content Product" sheetId="2" state="visible" r:id="rId2"/>
    <sheet xmlns:r="http://schemas.openxmlformats.org/officeDocument/2006/relationships" name="Content Multimed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E3A8A"/>
      <sz val="9"/>
    </font>
    <font>
      <name val="Arial"/>
      <color rgb="00000000"/>
      <sz val="9"/>
    </font>
    <font>
      <name val="Arial"/>
      <i val="1"/>
      <color rgb="00000000"/>
      <sz val="8"/>
    </font>
    <font>
      <name val="Arial"/>
      <b val="1"/>
      <color rgb="0014532D"/>
      <sz val="9"/>
    </font>
    <font>
      <name val="Arial"/>
      <b val="1"/>
      <color rgb="007C2D12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1D4ED8"/>
      <sz val="9"/>
    </font>
    <font>
      <name val="Arial"/>
      <b val="1"/>
      <color rgb="00F0FFF4"/>
      <sz val="10"/>
    </font>
    <font>
      <name val="Arial"/>
      <b val="1"/>
      <color rgb="001D4ED8"/>
      <sz val="11"/>
    </font>
    <font>
      <name val="Arial"/>
      <i val="1"/>
      <color rgb="00475569"/>
      <sz val="8"/>
    </font>
    <font>
      <name val="Arial"/>
      <b val="1"/>
      <color rgb="00166534"/>
      <sz val="9"/>
    </font>
    <font>
      <name val="Arial"/>
      <b val="1"/>
      <color rgb="00166534"/>
      <sz val="11"/>
    </font>
    <font>
      <name val="Arial"/>
      <b val="1"/>
      <color rgb="009A3412"/>
      <sz val="9"/>
    </font>
    <font>
      <name val="Arial"/>
      <b val="1"/>
      <color rgb="009A3412"/>
      <sz val="11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1F5F9"/>
      </patternFill>
    </fill>
    <fill>
      <patternFill patternType="solid">
        <fgColor rgb="00166534"/>
      </patternFill>
    </fill>
    <fill>
      <patternFill patternType="solid">
        <fgColor rgb="009A3412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94A3B8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medium">
        <color rgb="0094A3B8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6" fillId="8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righ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9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left" vertical="center" wrapText="1"/>
    </xf>
    <xf numFmtId="9" fontId="12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164" fontId="12" fillId="4" borderId="2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righ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center" wrapText="1"/>
    </xf>
    <xf numFmtId="0" fontId="9" fillId="13" borderId="0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9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9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.25" customWidth="1" min="1" max="1"/>
    <col width="38.5" customWidth="1" min="2" max="2"/>
    <col width="9.630000000000001" customWidth="1" min="3" max="3"/>
    <col width="19.25" customWidth="1" min="4" max="4"/>
    <col width="15.75" customWidth="1" min="5" max="5"/>
    <col width="14" customWidth="1" min="6" max="6"/>
    <col width="13" customWidth="1" min="7" max="7"/>
    <col width="28" customWidth="1" min="8" max="8"/>
  </cols>
  <sheetData>
    <row r="1" ht="30" customHeight="1">
      <c r="A1" s="1" t="inlineStr">
        <is>
          <t xml:space="preserve">  Content — Content Articles</t>
        </is>
      </c>
    </row>
    <row r="2" ht="22" customHeight="1">
      <c r="A2" s="2" t="inlineStr">
        <is>
          <t xml:space="preserve">  Nhóm Sản xuất nội dung</t>
        </is>
      </c>
    </row>
    <row r="3" ht="6" customHeight="1"/>
    <row r="4" ht="22" customHeight="1">
      <c r="A4" s="3" t="inlineStr">
        <is>
          <t xml:space="preserve">  PHẦN 1 — KPI FRAMEWORK (Khung Chỉ tiêu Đánh giá)</t>
        </is>
      </c>
    </row>
    <row r="5" ht="36" customHeight="1">
      <c r="A5" s="4" t="inlineStr">
        <is>
          <t>Tầng</t>
        </is>
      </c>
      <c r="B5" s="4" t="inlineStr">
        <is>
          <t>KPI / Chỉ tiêu</t>
        </is>
      </c>
      <c r="C5" s="4" t="inlineStr">
        <is>
          <t>Trọng số</t>
        </is>
      </c>
      <c r="D5" s="4" t="inlineStr">
        <is>
          <t>Ngưỡng Target</t>
        </is>
      </c>
      <c r="E5" s="4" t="inlineStr">
        <is>
          <t>Chu kỳ đo</t>
        </is>
      </c>
      <c r="F5" s="4" t="inlineStr">
        <is>
          <t>Cách đo</t>
        </is>
      </c>
      <c r="G5" s="4" t="inlineStr">
        <is>
          <t>Đơn vị</t>
        </is>
      </c>
      <c r="H5" s="4" t="inlineStr">
        <is>
          <t>Nguồn dữ liệu / Triết lý</t>
        </is>
      </c>
    </row>
    <row r="6" ht="30" customHeight="1">
      <c r="A6" s="5" t="inlineStr">
        <is>
          <t>🔵  STAFF
(Làm đúng &amp; chuẩn)</t>
        </is>
      </c>
      <c r="B6" s="6" t="inlineStr">
        <is>
          <t>Sản lượng bài/SKU hoàn thành vs target</t>
        </is>
      </c>
      <c r="C6" s="7" t="inlineStr">
        <is>
          <t>60%</t>
        </is>
      </c>
      <c r="D6" s="7" t="inlineStr">
        <is>
          <t>≥80% target đặt ra</t>
        </is>
      </c>
      <c r="E6" s="7" t="inlineStr">
        <is>
          <t>Monthly</t>
        </is>
      </c>
      <c r="F6" s="8" t="inlineStr"/>
      <c r="G6" s="8" t="inlineStr"/>
      <c r="H6" s="9" t="inlineStr">
        <is>
          <t>Đếm bài hoàn thành / target × 100%</t>
        </is>
      </c>
    </row>
    <row r="7" ht="30" customHeight="1">
      <c r="A7" s="50" t="n"/>
      <c r="B7" s="6" t="inlineStr">
        <is>
          <t>Tỷ lệ nội dung lỗi (chính tả + nội dung thiếu chính xác)</t>
        </is>
      </c>
      <c r="C7" s="7" t="inlineStr">
        <is>
          <t>30%</t>
        </is>
      </c>
      <c r="D7" s="7" t="inlineStr">
        <is>
          <t>&lt;5%</t>
        </is>
      </c>
      <c r="E7" s="7" t="inlineStr">
        <is>
          <t>Monthly</t>
        </is>
      </c>
      <c r="F7" s="8" t="inlineStr"/>
      <c r="G7" s="8" t="inlineStr"/>
      <c r="H7" s="9" t="inlineStr">
        <is>
          <t>Số lỗi / tổng bài × 100%; nguồn: QC checklist</t>
        </is>
      </c>
    </row>
    <row r="8" ht="30" customHeight="1">
      <c r="A8" s="51" t="n"/>
      <c r="B8" s="6" t="inlineStr">
        <is>
          <t>Đúng quy chuẩn nội dung (SEO/AEO + Y Dược)</t>
        </is>
      </c>
      <c r="C8" s="7" t="inlineStr">
        <is>
          <t>10%</t>
        </is>
      </c>
      <c r="D8" s="7" t="inlineStr">
        <is>
          <t>≥85 điểm</t>
        </is>
      </c>
      <c r="E8" s="7" t="inlineStr">
        <is>
          <t>Monthly</t>
        </is>
      </c>
      <c r="F8" s="8" t="inlineStr"/>
      <c r="G8" s="8" t="inlineStr"/>
      <c r="H8" s="9" t="inlineStr">
        <is>
          <t>Điểm audit nội dung theo rubric SEO &amp; Y Dược</t>
        </is>
      </c>
    </row>
    <row r="9" ht="30" customHeight="1">
      <c r="A9" s="10" t="inlineStr">
        <is>
          <t>🟢  SENIOR
(Tối ưu &amp; cải tiến)</t>
        </is>
      </c>
      <c r="B9" s="11" t="inlineStr">
        <is>
          <t>Sản lượng bài/SKU hoàn thành vs target</t>
        </is>
      </c>
      <c r="C9" s="12" t="inlineStr">
        <is>
          <t>60%</t>
        </is>
      </c>
      <c r="D9" s="12" t="inlineStr">
        <is>
          <t>≥85%</t>
        </is>
      </c>
      <c r="E9" s="12" t="inlineStr">
        <is>
          <t>Monthly</t>
        </is>
      </c>
      <c r="F9" s="13" t="inlineStr"/>
      <c r="G9" s="13" t="inlineStr"/>
      <c r="H9" s="14" t="inlineStr">
        <is>
          <t>Đếm bài hoàn thành / target × 100%</t>
        </is>
      </c>
    </row>
    <row r="10" ht="30" customHeight="1">
      <c r="A10" s="50" t="n"/>
      <c r="B10" s="11" t="inlineStr">
        <is>
          <t>Content quality score tổng thể toàn nhóm</t>
        </is>
      </c>
      <c r="C10" s="12" t="inlineStr">
        <is>
          <t>30%</t>
        </is>
      </c>
      <c r="D10" s="12" t="inlineStr">
        <is>
          <t>≥95%</t>
        </is>
      </c>
      <c r="E10" s="12" t="inlineStr">
        <is>
          <t>Quarterly</t>
        </is>
      </c>
      <c r="F10" s="13" t="inlineStr"/>
      <c r="G10" s="13" t="inlineStr"/>
      <c r="H10" s="14" t="inlineStr">
        <is>
          <t>Điểm QC trung bình toàn team từ hệ thống audit</t>
        </is>
      </c>
    </row>
    <row r="11" ht="30" customHeight="1">
      <c r="A11" s="51" t="n"/>
      <c r="B11" s="11" t="inlineStr">
        <is>
          <t>Đúng quy chuẩn nội dung (SEO/AEO + Y Dược)</t>
        </is>
      </c>
      <c r="C11" s="12" t="inlineStr">
        <is>
          <t>10%</t>
        </is>
      </c>
      <c r="D11" s="12" t="inlineStr">
        <is>
          <t>≥85 điểm</t>
        </is>
      </c>
      <c r="E11" s="12" t="inlineStr">
        <is>
          <t>Quarterly</t>
        </is>
      </c>
      <c r="F11" s="13" t="inlineStr"/>
      <c r="G11" s="13" t="inlineStr"/>
      <c r="H11" s="14" t="inlineStr">
        <is>
          <t>Điểm audit theo rubric chuẩn nội dung</t>
        </is>
      </c>
    </row>
    <row r="12" ht="30" customHeight="1">
      <c r="A12" s="15" t="inlineStr">
        <is>
          <t>🟠  LEAD/MGR
(Outcome &amp; Impact)</t>
        </is>
      </c>
      <c r="B12" s="16" t="inlineStr">
        <is>
          <t>Sản lượng nội dung của toàn thể (MoM)</t>
        </is>
      </c>
      <c r="C12" s="17" t="inlineStr">
        <is>
          <t>55%</t>
        </is>
      </c>
      <c r="D12" s="17" t="inlineStr">
        <is>
          <t>≥80% Target</t>
        </is>
      </c>
      <c r="E12" s="17" t="inlineStr">
        <is>
          <t>Monthly</t>
        </is>
      </c>
      <c r="F12" s="18" t="inlineStr"/>
      <c r="G12" s="18" t="inlineStr"/>
      <c r="H12" s="19" t="inlineStr">
        <is>
          <t>Tổng sản lượng team / target tháng × 100%</t>
        </is>
      </c>
    </row>
    <row r="13" ht="30" customHeight="1">
      <c r="A13" s="50" t="n"/>
      <c r="B13" s="16" t="inlineStr">
        <is>
          <t>Content quality score tổng thể toàn nhóm</t>
        </is>
      </c>
      <c r="C13" s="17" t="inlineStr">
        <is>
          <t>30%</t>
        </is>
      </c>
      <c r="D13" s="17" t="inlineStr">
        <is>
          <t>≥85 điểm</t>
        </is>
      </c>
      <c r="E13" s="17" t="inlineStr">
        <is>
          <t>Monthly</t>
        </is>
      </c>
      <c r="F13" s="18" t="inlineStr"/>
      <c r="G13" s="18" t="inlineStr"/>
      <c r="H13" s="19" t="inlineStr">
        <is>
          <t>Điểm QC trung bình toàn team từ hệ thống audit</t>
        </is>
      </c>
    </row>
    <row r="14" ht="30" customHeight="1">
      <c r="A14" s="51" t="n"/>
      <c r="B14" s="16" t="inlineStr">
        <is>
          <t>Team KPI attainment rate</t>
        </is>
      </c>
      <c r="C14" s="17" t="inlineStr">
        <is>
          <t>15%</t>
        </is>
      </c>
      <c r="D14" s="17" t="inlineStr">
        <is>
          <t>≥85%</t>
        </is>
      </c>
      <c r="E14" s="17" t="inlineStr">
        <is>
          <t>Monthly</t>
        </is>
      </c>
      <c r="F14" s="18" t="inlineStr"/>
      <c r="G14" s="18" t="inlineStr"/>
      <c r="H14" s="19" t="inlineStr">
        <is>
          <t>% nhân sự đạt KPI cá nhân / tổng team</t>
        </is>
      </c>
    </row>
    <row r="15" ht="8" customHeight="1"/>
    <row r="16" ht="22" customHeight="1">
      <c r="A16" s="3" t="inlineStr">
        <is>
          <t xml:space="preserve">  PHẦN 2 — SCORE CARDS MẪU (Ví dụ minh hoạ theo tầng)</t>
        </is>
      </c>
    </row>
    <row r="18" ht="22" customHeight="1">
      <c r="A18" s="20" t="inlineStr">
        <is>
          <t>🔵  STAFF — Làm đúng &amp; chuẩn</t>
        </is>
      </c>
    </row>
    <row r="19" ht="18" customHeight="1">
      <c r="A19" s="21" t="inlineStr">
        <is>
          <t>Nhân viên:</t>
        </is>
      </c>
      <c r="B19" s="52" t="n"/>
      <c r="C19" s="22" t="inlineStr">
        <is>
          <t>Vũ Thị Hoa</t>
        </is>
      </c>
      <c r="D19" s="53" t="n"/>
      <c r="E19" s="52" t="n"/>
      <c r="F19" s="23" t="inlineStr">
        <is>
          <t>Tháng/Kỳ:</t>
        </is>
      </c>
      <c r="G19" s="52" t="n"/>
      <c r="H19" s="24" t="inlineStr">
        <is>
          <t>Tháng __/20__</t>
        </is>
      </c>
    </row>
    <row r="20" ht="28" customHeight="1">
      <c r="A20" s="25" t="inlineStr">
        <is>
          <t>STT</t>
        </is>
      </c>
      <c r="B20" s="26" t="inlineStr">
        <is>
          <t>KPI / Chỉ tiêu</t>
        </is>
      </c>
      <c r="C20" s="25" t="inlineStr">
        <is>
          <t>Trọng số
(%)</t>
        </is>
      </c>
      <c r="D20" s="25" t="inlineStr">
        <is>
          <t>Target
(đặt ra)</t>
        </is>
      </c>
      <c r="E20" s="25" t="inlineStr">
        <is>
          <t>Thực tế
(đạt được)</t>
        </is>
      </c>
      <c r="F20" s="25" t="inlineStr">
        <is>
          <t>Tỷ lệ đạt
(%)</t>
        </is>
      </c>
      <c r="G20" s="25" t="inlineStr">
        <is>
          <t>Điểm KPI</t>
        </is>
      </c>
      <c r="H20" s="26" t="inlineStr">
        <is>
          <t>Ghi chú</t>
        </is>
      </c>
    </row>
    <row r="21" ht="30" customHeight="1">
      <c r="A21" s="7" t="n">
        <v>1</v>
      </c>
      <c r="B21" s="6" t="inlineStr">
        <is>
          <t>Sản lượng bài/SKU hoàn thành vs target</t>
        </is>
      </c>
      <c r="C21" s="27" t="n">
        <v>0.6</v>
      </c>
      <c r="D21" s="7" t="n">
        <v>80</v>
      </c>
      <c r="E21" s="7" t="n">
        <v>72</v>
      </c>
      <c r="F21" s="28">
        <f>IF(D21=0,0,MIN(E21/D21*100,120))</f>
        <v/>
      </c>
      <c r="G21" s="28">
        <f>F21*C21</f>
        <v/>
      </c>
      <c r="H21" s="8" t="inlineStr"/>
    </row>
    <row r="22" ht="30" customHeight="1">
      <c r="A22" s="7" t="n">
        <v>2</v>
      </c>
      <c r="B22" s="6" t="inlineStr">
        <is>
          <t>Tỷ lệ nội dung lỗi (chính tả + nội dung thiếu chính xác)</t>
        </is>
      </c>
      <c r="C22" s="27" t="n">
        <v>0.3</v>
      </c>
      <c r="D22" s="7" t="n">
        <v>95</v>
      </c>
      <c r="E22" s="7" t="n">
        <v>97</v>
      </c>
      <c r="F22" s="28">
        <f>IF(D22=0,0,MIN(E22/D22*100,120))</f>
        <v/>
      </c>
      <c r="G22" s="28">
        <f>F22*C22</f>
        <v/>
      </c>
      <c r="H22" s="8" t="inlineStr"/>
    </row>
    <row r="23" ht="30" customHeight="1">
      <c r="A23" s="7" t="n">
        <v>3</v>
      </c>
      <c r="B23" s="6" t="inlineStr">
        <is>
          <t>Đúng quy chuẩn nội dung (SEO/AEO + Y Dược)</t>
        </is>
      </c>
      <c r="C23" s="27" t="n">
        <v>0.1</v>
      </c>
      <c r="D23" s="7" t="n">
        <v>100</v>
      </c>
      <c r="E23" s="7" t="n">
        <v>103</v>
      </c>
      <c r="F23" s="28">
        <f>IF(D23=0,0,MIN(E23/D23*100,120))</f>
        <v/>
      </c>
      <c r="G23" s="28">
        <f>F23*C23</f>
        <v/>
      </c>
      <c r="H23" s="8" t="inlineStr"/>
    </row>
    <row r="24" ht="22" customHeight="1">
      <c r="A24" s="29" t="inlineStr">
        <is>
          <t>TỔNG ĐIỂM KPI</t>
        </is>
      </c>
      <c r="B24" s="54" t="n"/>
      <c r="C24" s="30" t="n">
        <v>1</v>
      </c>
      <c r="D24" s="31" t="n"/>
      <c r="E24" s="31" t="n"/>
      <c r="F24" s="32">
        <f>AVERAGE(F21:F23)</f>
        <v/>
      </c>
      <c r="G24" s="32">
        <f>SUM(G21:G23)</f>
        <v/>
      </c>
      <c r="H24" s="31" t="inlineStr"/>
    </row>
    <row r="25" ht="28" customHeight="1">
      <c r="A25" s="33" t="inlineStr">
        <is>
          <t>Xếp loại:</t>
        </is>
      </c>
      <c r="B25" s="53" t="n"/>
      <c r="C25" s="53" t="n"/>
      <c r="D25" s="53" t="n"/>
      <c r="E25" s="52" t="n"/>
      <c r="F25" s="34">
        <f>IF(G24&gt;=100,"★  OUTSTANDING",IF(G24&gt;=90,"▲  EXCEED EXPECTATION",IF(G24&gt;=75,"●  MEET EXPECTATION",IF(G24&gt;=60,"▼  BELOW EXPECTATION","✕  UNSATISFACTORY"))))</f>
        <v/>
      </c>
      <c r="G25" s="53" t="n"/>
      <c r="H25" s="52" t="n"/>
    </row>
    <row r="26" ht="18" customHeight="1">
      <c r="A26" s="35" t="inlineStr">
        <is>
          <t>★ Ghi chú Manager: Hoàn thành tốt tiêu chí chất lượng; cần cải thiện sản lượng tháng sau.</t>
        </is>
      </c>
      <c r="B26" s="53" t="n"/>
      <c r="C26" s="53" t="n"/>
      <c r="D26" s="53" t="n"/>
      <c r="E26" s="53" t="n"/>
      <c r="F26" s="53" t="n"/>
      <c r="G26" s="53" t="n"/>
      <c r="H26" s="52" t="n"/>
    </row>
    <row r="28" ht="22" customHeight="1">
      <c r="A28" s="36" t="inlineStr">
        <is>
          <t>🟢  SENIOR — Tối ưu &amp; cải tiến</t>
        </is>
      </c>
    </row>
    <row r="29" ht="18" customHeight="1">
      <c r="A29" s="21" t="inlineStr">
        <is>
          <t>Nhân viên:</t>
        </is>
      </c>
      <c r="B29" s="52" t="n"/>
      <c r="C29" s="37" t="inlineStr">
        <is>
          <t>Bùi Anh Khoa</t>
        </is>
      </c>
      <c r="D29" s="53" t="n"/>
      <c r="E29" s="52" t="n"/>
      <c r="F29" s="23" t="inlineStr">
        <is>
          <t>Tháng/Kỳ:</t>
        </is>
      </c>
      <c r="G29" s="52" t="n"/>
      <c r="H29" s="24" t="inlineStr">
        <is>
          <t>Tháng __/20__</t>
        </is>
      </c>
    </row>
    <row r="30" ht="28" customHeight="1">
      <c r="A30" s="38" t="inlineStr">
        <is>
          <t>STT</t>
        </is>
      </c>
      <c r="B30" s="39" t="inlineStr">
        <is>
          <t>KPI / Chỉ tiêu</t>
        </is>
      </c>
      <c r="C30" s="38" t="inlineStr">
        <is>
          <t>Trọng số
(%)</t>
        </is>
      </c>
      <c r="D30" s="38" t="inlineStr">
        <is>
          <t>Target
(đặt ra)</t>
        </is>
      </c>
      <c r="E30" s="38" t="inlineStr">
        <is>
          <t>Thực tế
(đạt được)</t>
        </is>
      </c>
      <c r="F30" s="38" t="inlineStr">
        <is>
          <t>Tỷ lệ đạt
(%)</t>
        </is>
      </c>
      <c r="G30" s="38" t="inlineStr">
        <is>
          <t>Điểm KPI</t>
        </is>
      </c>
      <c r="H30" s="39" t="inlineStr">
        <is>
          <t>Ghi chú</t>
        </is>
      </c>
    </row>
    <row r="31" ht="30" customHeight="1">
      <c r="A31" s="12" t="n">
        <v>1</v>
      </c>
      <c r="B31" s="11" t="inlineStr">
        <is>
          <t>Sản lượng bài/SKU hoàn thành vs target</t>
        </is>
      </c>
      <c r="C31" s="40" t="n">
        <v>0.6</v>
      </c>
      <c r="D31" s="12" t="n">
        <v>85</v>
      </c>
      <c r="E31" s="12" t="n">
        <v>88</v>
      </c>
      <c r="F31" s="41">
        <f>IF(D31=0,0,MIN(E31/D31*100,120))</f>
        <v/>
      </c>
      <c r="G31" s="41">
        <f>F31*C31</f>
        <v/>
      </c>
      <c r="H31" s="13" t="inlineStr"/>
    </row>
    <row r="32" ht="30" customHeight="1">
      <c r="A32" s="12" t="n">
        <v>2</v>
      </c>
      <c r="B32" s="11" t="inlineStr">
        <is>
          <t>Content quality score tổng thể toàn nhóm</t>
        </is>
      </c>
      <c r="C32" s="40" t="n">
        <v>0.3</v>
      </c>
      <c r="D32" s="12" t="n">
        <v>15</v>
      </c>
      <c r="E32" s="12" t="n">
        <v>18</v>
      </c>
      <c r="F32" s="41">
        <f>IF(D32=0,0,MIN(E32/D32*100,120))</f>
        <v/>
      </c>
      <c r="G32" s="41">
        <f>F32*C32</f>
        <v/>
      </c>
      <c r="H32" s="13" t="inlineStr"/>
    </row>
    <row r="33" ht="30" customHeight="1">
      <c r="A33" s="12" t="n">
        <v>3</v>
      </c>
      <c r="B33" s="11" t="inlineStr">
        <is>
          <t>Đúng quy chuẩn nội dung (SEO/AEO + Y Dược)</t>
        </is>
      </c>
      <c r="C33" s="40" t="n">
        <v>0.1</v>
      </c>
      <c r="D33" s="12" t="n">
        <v>1</v>
      </c>
      <c r="E33" s="12" t="n">
        <v>2</v>
      </c>
      <c r="F33" s="41">
        <f>IF(D33=0,0,MIN(E33/D33*100,120))</f>
        <v/>
      </c>
      <c r="G33" s="41">
        <f>F33*C33</f>
        <v/>
      </c>
      <c r="H33" s="13" t="inlineStr"/>
    </row>
    <row r="34" ht="22" customHeight="1">
      <c r="A34" s="29" t="inlineStr">
        <is>
          <t>TỔNG ĐIỂM KPI</t>
        </is>
      </c>
      <c r="B34" s="54" t="n"/>
      <c r="C34" s="30" t="n">
        <v>1</v>
      </c>
      <c r="D34" s="31" t="n"/>
      <c r="E34" s="31" t="n"/>
      <c r="F34" s="32">
        <f>AVERAGE(F31:F33)</f>
        <v/>
      </c>
      <c r="G34" s="32">
        <f>SUM(G31:G33)</f>
        <v/>
      </c>
      <c r="H34" s="31" t="inlineStr"/>
    </row>
    <row r="35" ht="28" customHeight="1">
      <c r="A35" s="33" t="inlineStr">
        <is>
          <t>Xếp loại:</t>
        </is>
      </c>
      <c r="B35" s="53" t="n"/>
      <c r="C35" s="53" t="n"/>
      <c r="D35" s="53" t="n"/>
      <c r="E35" s="52" t="n"/>
      <c r="F35" s="42">
        <f>IF(G34&gt;=100,"★  OUTSTANDING",IF(G34&gt;=90,"▲  EXCEED EXPECTATION",IF(G34&gt;=75,"●  MEET EXPECTATION",IF(G34&gt;=60,"▼  BELOW EXPECTATION","✕  UNSATISFACTORY"))))</f>
        <v/>
      </c>
      <c r="G35" s="53" t="n"/>
      <c r="H35" s="52" t="n"/>
    </row>
    <row r="36" ht="18" customHeight="1">
      <c r="A36" s="35" t="inlineStr">
        <is>
          <t>▲ Ghi chú Manager: Vượt target sản lượng và quality score; dẫn dắt tốt các bài khó.</t>
        </is>
      </c>
      <c r="B36" s="53" t="n"/>
      <c r="C36" s="53" t="n"/>
      <c r="D36" s="53" t="n"/>
      <c r="E36" s="53" t="n"/>
      <c r="F36" s="53" t="n"/>
      <c r="G36" s="53" t="n"/>
      <c r="H36" s="52" t="n"/>
    </row>
    <row r="38" ht="22" customHeight="1">
      <c r="A38" s="43" t="inlineStr">
        <is>
          <t>🟠  LEAD / MANAGER — Outcome &amp; Impact</t>
        </is>
      </c>
    </row>
    <row r="39" ht="18" customHeight="1">
      <c r="A39" s="21" t="inlineStr">
        <is>
          <t>Nhân viên:</t>
        </is>
      </c>
      <c r="B39" s="52" t="n"/>
      <c r="C39" s="44" t="inlineStr">
        <is>
          <t>Hoàng Minh Đức</t>
        </is>
      </c>
      <c r="D39" s="53" t="n"/>
      <c r="E39" s="52" t="n"/>
      <c r="F39" s="23" t="inlineStr">
        <is>
          <t>Tháng/Kỳ:</t>
        </is>
      </c>
      <c r="G39" s="52" t="n"/>
      <c r="H39" s="24" t="inlineStr">
        <is>
          <t>Tháng __/20__</t>
        </is>
      </c>
    </row>
    <row r="40" ht="28" customHeight="1">
      <c r="A40" s="45" t="inlineStr">
        <is>
          <t>STT</t>
        </is>
      </c>
      <c r="B40" s="46" t="inlineStr">
        <is>
          <t>KPI / Chỉ tiêu</t>
        </is>
      </c>
      <c r="C40" s="45" t="inlineStr">
        <is>
          <t>Trọng số
(%)</t>
        </is>
      </c>
      <c r="D40" s="45" t="inlineStr">
        <is>
          <t>Target
(đặt ra)</t>
        </is>
      </c>
      <c r="E40" s="45" t="inlineStr">
        <is>
          <t>Thực tế
(đạt được)</t>
        </is>
      </c>
      <c r="F40" s="45" t="inlineStr">
        <is>
          <t>Tỷ lệ đạt
(%)</t>
        </is>
      </c>
      <c r="G40" s="45" t="inlineStr">
        <is>
          <t>Điểm KPI</t>
        </is>
      </c>
      <c r="H40" s="46" t="inlineStr">
        <is>
          <t>Ghi chú</t>
        </is>
      </c>
    </row>
    <row r="41" ht="30" customHeight="1">
      <c r="A41" s="17" t="n">
        <v>1</v>
      </c>
      <c r="B41" s="16" t="inlineStr">
        <is>
          <t>Sản lượng nội dung của toàn thể (MoM)</t>
        </is>
      </c>
      <c r="C41" s="47" t="n">
        <v>0.55</v>
      </c>
      <c r="D41" s="17" t="n">
        <v>12</v>
      </c>
      <c r="E41" s="17" t="n">
        <v>14.5</v>
      </c>
      <c r="F41" s="48">
        <f>IF(D41=0,0,MIN(E41/D41*100,120))</f>
        <v/>
      </c>
      <c r="G41" s="48">
        <f>F41*C41</f>
        <v/>
      </c>
      <c r="H41" s="18" t="inlineStr"/>
    </row>
    <row r="42" ht="30" customHeight="1">
      <c r="A42" s="17" t="n">
        <v>2</v>
      </c>
      <c r="B42" s="16" t="inlineStr">
        <is>
          <t>Content quality score tổng thể toàn nhóm</t>
        </is>
      </c>
      <c r="C42" s="47" t="n">
        <v>0.3</v>
      </c>
      <c r="D42" s="17" t="n">
        <v>85</v>
      </c>
      <c r="E42" s="17" t="n">
        <v>83</v>
      </c>
      <c r="F42" s="48">
        <f>IF(D42=0,0,MIN(E42/D42*100,120))</f>
        <v/>
      </c>
      <c r="G42" s="48">
        <f>F42*C42</f>
        <v/>
      </c>
      <c r="H42" s="18" t="inlineStr"/>
    </row>
    <row r="43" ht="30" customHeight="1">
      <c r="A43" s="17" t="n">
        <v>3</v>
      </c>
      <c r="B43" s="16" t="inlineStr">
        <is>
          <t>Team KPI attainment rate</t>
        </is>
      </c>
      <c r="C43" s="47" t="n">
        <v>0.15</v>
      </c>
      <c r="D43" s="17" t="n">
        <v>85</v>
      </c>
      <c r="E43" s="17" t="n">
        <v>90</v>
      </c>
      <c r="F43" s="48">
        <f>IF(D43=0,0,MIN(E43/D43*100,120))</f>
        <v/>
      </c>
      <c r="G43" s="48">
        <f>F43*C43</f>
        <v/>
      </c>
      <c r="H43" s="18" t="inlineStr"/>
    </row>
    <row r="44" ht="22" customHeight="1">
      <c r="A44" s="29" t="inlineStr">
        <is>
          <t>TỔNG ĐIỂM KPI</t>
        </is>
      </c>
      <c r="B44" s="54" t="n"/>
      <c r="C44" s="30" t="n">
        <v>1</v>
      </c>
      <c r="D44" s="31" t="n"/>
      <c r="E44" s="31" t="n"/>
      <c r="F44" s="32">
        <f>AVERAGE(F41:F43)</f>
        <v/>
      </c>
      <c r="G44" s="32">
        <f>SUM(G41:G43)</f>
        <v/>
      </c>
      <c r="H44" s="31" t="inlineStr"/>
    </row>
    <row r="45" ht="28" customHeight="1">
      <c r="A45" s="33" t="inlineStr">
        <is>
          <t>Xếp loại:</t>
        </is>
      </c>
      <c r="B45" s="53" t="n"/>
      <c r="C45" s="53" t="n"/>
      <c r="D45" s="53" t="n"/>
      <c r="E45" s="52" t="n"/>
      <c r="F45" s="49">
        <f>IF(G44&gt;=100,"★  OUTSTANDING",IF(G44&gt;=90,"▲  EXCEED EXPECTATION",IF(G44&gt;=75,"●  MEET EXPECTATION",IF(G44&gt;=60,"▼  BELOW EXPECTATION","✕  UNSATISFACTORY"))))</f>
        <v/>
      </c>
      <c r="G45" s="53" t="n"/>
      <c r="H45" s="52" t="n"/>
    </row>
    <row r="46" ht="18" customHeight="1">
      <c r="A46" s="35" t="inlineStr">
        <is>
          <t>● Ghi chú Manager: Team đạt sản lượng tốt; cần tập trung nâng quality score tháng tới.</t>
        </is>
      </c>
      <c r="B46" s="53" t="n"/>
      <c r="C46" s="53" t="n"/>
      <c r="D46" s="53" t="n"/>
      <c r="E46" s="53" t="n"/>
      <c r="F46" s="53" t="n"/>
      <c r="G46" s="53" t="n"/>
      <c r="H46" s="52" t="n"/>
    </row>
  </sheetData>
  <mergeCells count="31">
    <mergeCell ref="A24:B24"/>
    <mergeCell ref="A12:A14"/>
    <mergeCell ref="F29:G29"/>
    <mergeCell ref="F45:H45"/>
    <mergeCell ref="F19:G19"/>
    <mergeCell ref="F35:H35"/>
    <mergeCell ref="A36:H36"/>
    <mergeCell ref="A45:E45"/>
    <mergeCell ref="A1:H1"/>
    <mergeCell ref="A16:H16"/>
    <mergeCell ref="A25:E25"/>
    <mergeCell ref="C39:E39"/>
    <mergeCell ref="A46:H46"/>
    <mergeCell ref="A9:A11"/>
    <mergeCell ref="A18:H18"/>
    <mergeCell ref="A26:H26"/>
    <mergeCell ref="C19:E19"/>
    <mergeCell ref="A2:H2"/>
    <mergeCell ref="A6:A8"/>
    <mergeCell ref="F25:H25"/>
    <mergeCell ref="A4:H4"/>
    <mergeCell ref="F39:G39"/>
    <mergeCell ref="A35:E35"/>
    <mergeCell ref="A29:B29"/>
    <mergeCell ref="A19:B19"/>
    <mergeCell ref="A38:H38"/>
    <mergeCell ref="A28:H28"/>
    <mergeCell ref="A44:B44"/>
    <mergeCell ref="C29:E29"/>
    <mergeCell ref="A39:B3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.25" customWidth="1" min="1" max="1"/>
    <col width="38.5" customWidth="1" min="2" max="2"/>
    <col width="9.630000000000001" customWidth="1" min="3" max="3"/>
    <col width="19.25" customWidth="1" min="4" max="4"/>
    <col width="15.75" customWidth="1" min="5" max="5"/>
    <col width="14" customWidth="1" min="6" max="6"/>
    <col width="13" customWidth="1" min="7" max="7"/>
    <col width="28" customWidth="1" min="8" max="8"/>
  </cols>
  <sheetData>
    <row r="1" ht="30" customHeight="1">
      <c r="A1" s="1" t="inlineStr">
        <is>
          <t xml:space="preserve">  Content — Content Product</t>
        </is>
      </c>
    </row>
    <row r="2" ht="22" customHeight="1">
      <c r="A2" s="2" t="inlineStr">
        <is>
          <t xml:space="preserve">  Nhóm Nội Dung Sản Phẩm</t>
        </is>
      </c>
    </row>
    <row r="3" ht="6" customHeight="1"/>
    <row r="4" ht="22" customHeight="1">
      <c r="A4" s="3" t="inlineStr">
        <is>
          <t xml:space="preserve">  PHẦN 1 — KPI FRAMEWORK (Khung Chỉ tiêu Đánh giá)</t>
        </is>
      </c>
    </row>
    <row r="5" ht="36" customHeight="1">
      <c r="A5" s="4" t="inlineStr">
        <is>
          <t>Tầng</t>
        </is>
      </c>
      <c r="B5" s="4" t="inlineStr">
        <is>
          <t>KPI / Chỉ tiêu</t>
        </is>
      </c>
      <c r="C5" s="4" t="inlineStr">
        <is>
          <t>Trọng số</t>
        </is>
      </c>
      <c r="D5" s="4" t="inlineStr">
        <is>
          <t>Ngưỡng Target</t>
        </is>
      </c>
      <c r="E5" s="4" t="inlineStr">
        <is>
          <t>Chu kỳ đo</t>
        </is>
      </c>
      <c r="F5" s="4" t="inlineStr">
        <is>
          <t>Cách đo</t>
        </is>
      </c>
      <c r="G5" s="4" t="inlineStr">
        <is>
          <t>Đơn vị</t>
        </is>
      </c>
      <c r="H5" s="4" t="inlineStr">
        <is>
          <t>Nguồn dữ liệu / Triết lý</t>
        </is>
      </c>
    </row>
    <row r="6" ht="30" customHeight="1">
      <c r="A6" s="5" t="inlineStr">
        <is>
          <t>🔵  STAFF
(Làm đúng &amp; chuẩn)</t>
        </is>
      </c>
      <c r="B6" s="6" t="inlineStr">
        <is>
          <t>Sản lượng sản phẩm đạt được vs target tháng</t>
        </is>
      </c>
      <c r="C6" s="7" t="inlineStr">
        <is>
          <t>50%</t>
        </is>
      </c>
      <c r="D6" s="7" t="inlineStr">
        <is>
          <t>≥80% số điểm/tháng</t>
        </is>
      </c>
      <c r="E6" s="7" t="inlineStr">
        <is>
          <t>Monthly</t>
        </is>
      </c>
      <c r="F6" s="8" t="inlineStr"/>
      <c r="G6" s="8" t="inlineStr"/>
      <c r="H6" s="9" t="inlineStr">
        <is>
          <t>Số SKU hoàn thành / target tháng × 100%</t>
        </is>
      </c>
    </row>
    <row r="7" ht="30" customHeight="1">
      <c r="A7" s="50" t="n"/>
      <c r="B7" s="6" t="inlineStr">
        <is>
          <t>Tỷ lệ sản phẩm không có lỗi thông tin sau publish</t>
        </is>
      </c>
      <c r="C7" s="7" t="inlineStr">
        <is>
          <t>30%</t>
        </is>
      </c>
      <c r="D7" s="7" t="inlineStr">
        <is>
          <t>≥99%</t>
        </is>
      </c>
      <c r="E7" s="7" t="inlineStr">
        <is>
          <t>Monthly</t>
        </is>
      </c>
      <c r="F7" s="8" t="inlineStr"/>
      <c r="G7" s="8" t="inlineStr"/>
      <c r="H7" s="9" t="inlineStr">
        <is>
          <t>Số SKU không lỗi / tổng SKU publish × 100%; nguồn: QA report</t>
        </is>
      </c>
    </row>
    <row r="8" ht="30" customHeight="1">
      <c r="A8" s="51" t="n"/>
      <c r="B8" s="6" t="inlineStr">
        <is>
          <t>Tỷ lệ upload/cập nhật sản phẩm đúng lịch</t>
        </is>
      </c>
      <c r="C8" s="7" t="inlineStr">
        <is>
          <t>20%</t>
        </is>
      </c>
      <c r="D8" s="7" t="inlineStr">
        <is>
          <t>≥95%</t>
        </is>
      </c>
      <c r="E8" s="7" t="inlineStr">
        <is>
          <t>Monthly</t>
        </is>
      </c>
      <c r="F8" s="8" t="inlineStr"/>
      <c r="G8" s="8" t="inlineStr"/>
      <c r="H8" s="9" t="inlineStr">
        <is>
          <t>Số SKU upload đúng deadline / tổng cần upload × 100%</t>
        </is>
      </c>
    </row>
    <row r="9" ht="30" customHeight="1">
      <c r="A9" s="10" t="inlineStr">
        <is>
          <t>🟢  SENIOR
(Tối ưu &amp; cải tiến)</t>
        </is>
      </c>
      <c r="B9" s="11" t="inlineStr">
        <is>
          <t>Sản lượng điểm KPI đạt được vs target tháng</t>
        </is>
      </c>
      <c r="C9" s="12" t="inlineStr">
        <is>
          <t>50%</t>
        </is>
      </c>
      <c r="D9" s="12" t="inlineStr">
        <is>
          <t>≥80%</t>
        </is>
      </c>
      <c r="E9" s="12" t="inlineStr">
        <is>
          <t>Monthly</t>
        </is>
      </c>
      <c r="F9" s="13" t="inlineStr"/>
      <c r="G9" s="13" t="inlineStr"/>
      <c r="H9" s="14" t="inlineStr">
        <is>
          <t>Tổng điểm KPI đạt / target tháng × 100%</t>
        </is>
      </c>
    </row>
    <row r="10" ht="30" customHeight="1">
      <c r="A10" s="50" t="n"/>
      <c r="B10" s="11" t="inlineStr">
        <is>
          <t>Tỷ lệ sản phẩm không có lỗi thông tin (zero defect)</t>
        </is>
      </c>
      <c r="C10" s="12" t="inlineStr">
        <is>
          <t>35%</t>
        </is>
      </c>
      <c r="D10" s="12" t="inlineStr">
        <is>
          <t>≥99%</t>
        </is>
      </c>
      <c r="E10" s="12" t="inlineStr">
        <is>
          <t>Monthly</t>
        </is>
      </c>
      <c r="F10" s="13" t="inlineStr"/>
      <c r="G10" s="13" t="inlineStr"/>
      <c r="H10" s="14" t="inlineStr">
        <is>
          <t>Số SKU zero defect / tổng SKU × 100%; nguồn: QA log</t>
        </is>
      </c>
    </row>
    <row r="11" ht="30" customHeight="1">
      <c r="A11" s="51" t="n"/>
      <c r="B11" s="11" t="inlineStr">
        <is>
          <t>Số cải tiến template/quy trình được áp dụng</t>
        </is>
      </c>
      <c r="C11" s="12" t="inlineStr">
        <is>
          <t>15%</t>
        </is>
      </c>
      <c r="D11" s="12" t="inlineStr">
        <is>
          <t>≥1/quý</t>
        </is>
      </c>
      <c r="E11" s="12" t="inlineStr">
        <is>
          <t>Quarterly</t>
        </is>
      </c>
      <c r="F11" s="13" t="inlineStr"/>
      <c r="G11" s="13" t="inlineStr"/>
      <c r="H11" s="14" t="inlineStr">
        <is>
          <t>Đếm số cải tiến được team thông qua và áp dụng thực tế</t>
        </is>
      </c>
    </row>
    <row r="12" ht="30" customHeight="1">
      <c r="A12" s="15" t="inlineStr">
        <is>
          <t>🟠  LEAD/MGR
(Outcome &amp; Impact)</t>
        </is>
      </c>
      <c r="B12" s="16" t="inlineStr">
        <is>
          <t>Team KPI attainment rate (% đạt target tổng team)</t>
        </is>
      </c>
      <c r="C12" s="17" t="inlineStr">
        <is>
          <t>55%</t>
        </is>
      </c>
      <c r="D12" s="17" t="inlineStr">
        <is>
          <t>≥95%</t>
        </is>
      </c>
      <c r="E12" s="17" t="inlineStr">
        <is>
          <t>Monthly</t>
        </is>
      </c>
      <c r="F12" s="18" t="inlineStr"/>
      <c r="G12" s="18" t="inlineStr"/>
      <c r="H12" s="19" t="inlineStr">
        <is>
          <t>% nhân sự đạt KPI / tổng team × 100%</t>
        </is>
      </c>
    </row>
    <row r="13" ht="30" customHeight="1">
      <c r="A13" s="50" t="n"/>
      <c r="B13" s="16" t="inlineStr">
        <is>
          <t>Catalog accuracy — tỷ lệ sản phẩm không lỗi sau QA</t>
        </is>
      </c>
      <c r="C13" s="17" t="inlineStr">
        <is>
          <t>30%</t>
        </is>
      </c>
      <c r="D13" s="17" t="inlineStr">
        <is>
          <t>≥99%</t>
        </is>
      </c>
      <c r="E13" s="17" t="inlineStr">
        <is>
          <t>Monthly</t>
        </is>
      </c>
      <c r="F13" s="18" t="inlineStr"/>
      <c r="G13" s="18" t="inlineStr"/>
      <c r="H13" s="19" t="inlineStr">
        <is>
          <t>Số SKU pass QA / tổng catalog × 100%; nguồn: QA dashboard</t>
        </is>
      </c>
    </row>
    <row r="14" ht="30" customHeight="1">
      <c r="A14" s="51" t="n"/>
      <c r="B14" s="16" t="inlineStr">
        <is>
          <t>Tiến độ upload catalog on-time</t>
        </is>
      </c>
      <c r="C14" s="17" t="inlineStr">
        <is>
          <t>15%</t>
        </is>
      </c>
      <c r="D14" s="17" t="inlineStr">
        <is>
          <t>≥95%</t>
        </is>
      </c>
      <c r="E14" s="17" t="inlineStr">
        <is>
          <t>Monthly</t>
        </is>
      </c>
      <c r="F14" s="18" t="inlineStr"/>
      <c r="G14" s="18" t="inlineStr"/>
      <c r="H14" s="19" t="inlineStr">
        <is>
          <t>Số đợt upload đúng hạn / tổng đợt upload × 100%</t>
        </is>
      </c>
    </row>
    <row r="15" ht="8" customHeight="1"/>
    <row r="16" ht="22" customHeight="1">
      <c r="A16" s="3" t="inlineStr">
        <is>
          <t xml:space="preserve">  PHẦN 2 — SCORE CARDS MẪU (Ví dụ minh hoạ theo tầng)</t>
        </is>
      </c>
    </row>
    <row r="18" ht="22" customHeight="1">
      <c r="A18" s="20" t="inlineStr">
        <is>
          <t>🔵  STAFF — Làm đúng &amp; chuẩn</t>
        </is>
      </c>
    </row>
    <row r="19" ht="18" customHeight="1">
      <c r="A19" s="21" t="inlineStr">
        <is>
          <t>Nhân viên:</t>
        </is>
      </c>
      <c r="B19" s="52" t="n"/>
      <c r="C19" s="22" t="inlineStr">
        <is>
          <t>Họ và tên</t>
        </is>
      </c>
      <c r="D19" s="53" t="n"/>
      <c r="E19" s="52" t="n"/>
      <c r="F19" s="23" t="inlineStr">
        <is>
          <t>Tháng/Kỳ:</t>
        </is>
      </c>
      <c r="G19" s="52" t="n"/>
      <c r="H19" s="24" t="inlineStr">
        <is>
          <t>Tháng __/20__</t>
        </is>
      </c>
    </row>
    <row r="20" ht="28" customHeight="1">
      <c r="A20" s="25" t="inlineStr">
        <is>
          <t>STT</t>
        </is>
      </c>
      <c r="B20" s="26" t="inlineStr">
        <is>
          <t>KPI / Chỉ tiêu</t>
        </is>
      </c>
      <c r="C20" s="25" t="inlineStr">
        <is>
          <t>Trọng số
(%)</t>
        </is>
      </c>
      <c r="D20" s="25" t="inlineStr">
        <is>
          <t>Target
(đặt ra)</t>
        </is>
      </c>
      <c r="E20" s="25" t="inlineStr">
        <is>
          <t>Thực tế
(đạt được)</t>
        </is>
      </c>
      <c r="F20" s="25" t="inlineStr">
        <is>
          <t>Tỷ lệ đạt
(%)</t>
        </is>
      </c>
      <c r="G20" s="25" t="inlineStr">
        <is>
          <t>Điểm KPI</t>
        </is>
      </c>
      <c r="H20" s="26" t="inlineStr">
        <is>
          <t>Ghi chú</t>
        </is>
      </c>
    </row>
    <row r="21" ht="30" customHeight="1">
      <c r="A21" s="7" t="n">
        <v>1</v>
      </c>
      <c r="B21" s="6" t="inlineStr">
        <is>
          <t>Sản lượng sản phẩm đạt được vs target tháng</t>
        </is>
      </c>
      <c r="C21" s="27" t="n">
        <v>0.5</v>
      </c>
      <c r="D21" s="7" t="n">
        <v>80</v>
      </c>
      <c r="E21" s="7" t="n">
        <v>83</v>
      </c>
      <c r="F21" s="28">
        <f>IF(D21=0,0,MIN(E21/D21*100,120))</f>
        <v/>
      </c>
      <c r="G21" s="28">
        <f>F21*C21</f>
        <v/>
      </c>
      <c r="H21" s="8" t="inlineStr"/>
    </row>
    <row r="22" ht="30" customHeight="1">
      <c r="A22" s="7" t="n">
        <v>2</v>
      </c>
      <c r="B22" s="6" t="inlineStr">
        <is>
          <t>Tỷ lệ sản phẩm không có lỗi thông tin sau publish</t>
        </is>
      </c>
      <c r="C22" s="27" t="n">
        <v>0.3</v>
      </c>
      <c r="D22" s="7" t="n">
        <v>95</v>
      </c>
      <c r="E22" s="7" t="n">
        <v>94</v>
      </c>
      <c r="F22" s="28">
        <f>IF(D22=0,0,MIN(E22/D22*100,120))</f>
        <v/>
      </c>
      <c r="G22" s="28">
        <f>F22*C22</f>
        <v/>
      </c>
      <c r="H22" s="8" t="inlineStr"/>
    </row>
    <row r="23" ht="30" customHeight="1">
      <c r="A23" s="7" t="n">
        <v>3</v>
      </c>
      <c r="B23" s="6" t="inlineStr">
        <is>
          <t>Tỷ lệ upload/cập nhật sản phẩm đúng lịch</t>
        </is>
      </c>
      <c r="C23" s="27" t="n">
        <v>0.2</v>
      </c>
      <c r="D23" s="7" t="n">
        <v>20</v>
      </c>
      <c r="E23" s="7" t="n">
        <v>19</v>
      </c>
      <c r="F23" s="28">
        <f>IF(D23=0,0,MIN(E23/D23*100,120))</f>
        <v/>
      </c>
      <c r="G23" s="28">
        <f>F23*C23</f>
        <v/>
      </c>
      <c r="H23" s="8" t="inlineStr"/>
    </row>
    <row r="24" ht="22" customHeight="1">
      <c r="A24" s="29" t="inlineStr">
        <is>
          <t>TỔNG ĐIỂM KPI</t>
        </is>
      </c>
      <c r="B24" s="54" t="n"/>
      <c r="C24" s="30" t="n">
        <v>1</v>
      </c>
      <c r="D24" s="31" t="n"/>
      <c r="E24" s="31" t="n"/>
      <c r="F24" s="32">
        <f>AVERAGE(F21:F23)</f>
        <v/>
      </c>
      <c r="G24" s="32">
        <f>SUM(G21:G23)</f>
        <v/>
      </c>
      <c r="H24" s="31" t="inlineStr"/>
    </row>
    <row r="25" ht="28" customHeight="1">
      <c r="A25" s="33" t="inlineStr">
        <is>
          <t>Xếp loại:</t>
        </is>
      </c>
      <c r="B25" s="53" t="n"/>
      <c r="C25" s="53" t="n"/>
      <c r="D25" s="53" t="n"/>
      <c r="E25" s="52" t="n"/>
      <c r="F25" s="34">
        <f>IF(G24&gt;=100,"★  OUTSTANDING",IF(G24&gt;=90,"▲  EXCEED EXPECTATION",IF(G24&gt;=75,"●  MEET EXPECTATION",IF(G24&gt;=60,"▼  BELOW EXPECTATION","✕  UNSATISFACTORY"))))</f>
        <v/>
      </c>
      <c r="G25" s="53" t="n"/>
      <c r="H25" s="52" t="n"/>
    </row>
    <row r="26" ht="18" customHeight="1">
      <c r="A26" s="35" t="inlineStr">
        <is>
          <t>● Ghi chú Manager: Sản lượng đạt tốt; lỗi QA cần kiểm soát chặt hơn.</t>
        </is>
      </c>
      <c r="B26" s="53" t="n"/>
      <c r="C26" s="53" t="n"/>
      <c r="D26" s="53" t="n"/>
      <c r="E26" s="53" t="n"/>
      <c r="F26" s="53" t="n"/>
      <c r="G26" s="53" t="n"/>
      <c r="H26" s="52" t="n"/>
    </row>
    <row r="28" ht="22" customHeight="1">
      <c r="A28" s="36" t="inlineStr">
        <is>
          <t>🟢  SENIOR — Tối ưu &amp; cải tiến</t>
        </is>
      </c>
    </row>
    <row r="29" ht="18" customHeight="1">
      <c r="A29" s="21" t="inlineStr">
        <is>
          <t>Nhân viên:</t>
        </is>
      </c>
      <c r="B29" s="52" t="n"/>
      <c r="C29" s="37" t="inlineStr">
        <is>
          <t>Họ và tên</t>
        </is>
      </c>
      <c r="D29" s="53" t="n"/>
      <c r="E29" s="52" t="n"/>
      <c r="F29" s="23" t="inlineStr">
        <is>
          <t>Tháng/Kỳ:</t>
        </is>
      </c>
      <c r="G29" s="52" t="n"/>
      <c r="H29" s="24" t="inlineStr">
        <is>
          <t>Tháng __/20__</t>
        </is>
      </c>
    </row>
    <row r="30" ht="28" customHeight="1">
      <c r="A30" s="38" t="inlineStr">
        <is>
          <t>STT</t>
        </is>
      </c>
      <c r="B30" s="39" t="inlineStr">
        <is>
          <t>KPI / Chỉ tiêu</t>
        </is>
      </c>
      <c r="C30" s="38" t="inlineStr">
        <is>
          <t>Trọng số
(%)</t>
        </is>
      </c>
      <c r="D30" s="38" t="inlineStr">
        <is>
          <t>Target
(đặt ra)</t>
        </is>
      </c>
      <c r="E30" s="38" t="inlineStr">
        <is>
          <t>Thực tế
(đạt được)</t>
        </is>
      </c>
      <c r="F30" s="38" t="inlineStr">
        <is>
          <t>Tỷ lệ đạt
(%)</t>
        </is>
      </c>
      <c r="G30" s="38" t="inlineStr">
        <is>
          <t>Điểm KPI</t>
        </is>
      </c>
      <c r="H30" s="39" t="inlineStr">
        <is>
          <t>Ghi chú</t>
        </is>
      </c>
    </row>
    <row r="31" ht="30" customHeight="1">
      <c r="A31" s="12" t="n">
        <v>1</v>
      </c>
      <c r="B31" s="11" t="inlineStr">
        <is>
          <t>Sản lượng điểm KPI đạt được vs target tháng</t>
        </is>
      </c>
      <c r="C31" s="40" t="n">
        <v>0.5</v>
      </c>
      <c r="D31" s="12" t="n">
        <v>10</v>
      </c>
      <c r="E31" s="12" t="n">
        <v>13.5</v>
      </c>
      <c r="F31" s="41">
        <f>IF(D31=0,0,MIN(E31/D31*100,120))</f>
        <v/>
      </c>
      <c r="G31" s="41">
        <f>F31*C31</f>
        <v/>
      </c>
      <c r="H31" s="13" t="inlineStr"/>
    </row>
    <row r="32" ht="30" customHeight="1">
      <c r="A32" s="12" t="n">
        <v>2</v>
      </c>
      <c r="B32" s="11" t="inlineStr">
        <is>
          <t>Tỷ lệ sản phẩm không có lỗi thông tin (zero defect)</t>
        </is>
      </c>
      <c r="C32" s="40" t="n">
        <v>0.35</v>
      </c>
      <c r="D32" s="12" t="n">
        <v>2</v>
      </c>
      <c r="E32" s="12" t="n">
        <v>3</v>
      </c>
      <c r="F32" s="41">
        <f>IF(D32=0,0,MIN(E32/D32*100,120))</f>
        <v/>
      </c>
      <c r="G32" s="41">
        <f>F32*C32</f>
        <v/>
      </c>
      <c r="H32" s="13" t="inlineStr"/>
    </row>
    <row r="33" ht="30" customHeight="1">
      <c r="A33" s="12" t="n">
        <v>3</v>
      </c>
      <c r="B33" s="11" t="inlineStr">
        <is>
          <t>Số cải tiến template/quy trình được áp dụng</t>
        </is>
      </c>
      <c r="C33" s="40" t="n">
        <v>0.15</v>
      </c>
      <c r="D33" s="12" t="n">
        <v>80</v>
      </c>
      <c r="E33" s="12" t="n">
        <v>77</v>
      </c>
      <c r="F33" s="41">
        <f>IF(D33=0,0,MIN(E33/D33*100,120))</f>
        <v/>
      </c>
      <c r="G33" s="41">
        <f>F33*C33</f>
        <v/>
      </c>
      <c r="H33" s="13" t="inlineStr"/>
    </row>
    <row r="34" ht="22" customHeight="1">
      <c r="A34" s="29" t="inlineStr">
        <is>
          <t>TỔNG ĐIỂM KPI</t>
        </is>
      </c>
      <c r="B34" s="54" t="n"/>
      <c r="C34" s="30" t="n">
        <v>1</v>
      </c>
      <c r="D34" s="31" t="n"/>
      <c r="E34" s="31" t="n"/>
      <c r="F34" s="32">
        <f>AVERAGE(F31:F33)</f>
        <v/>
      </c>
      <c r="G34" s="32">
        <f>SUM(G31:G33)</f>
        <v/>
      </c>
      <c r="H34" s="31" t="inlineStr"/>
    </row>
    <row r="35" ht="28" customHeight="1">
      <c r="A35" s="33" t="inlineStr">
        <is>
          <t>Xếp loại:</t>
        </is>
      </c>
      <c r="B35" s="53" t="n"/>
      <c r="C35" s="53" t="n"/>
      <c r="D35" s="53" t="n"/>
      <c r="E35" s="52" t="n"/>
      <c r="F35" s="42">
        <f>IF(G34&gt;=100,"★  OUTSTANDING",IF(G34&gt;=90,"▲  EXCEED EXPECTATION",IF(G34&gt;=75,"●  MEET EXPECTATION",IF(G34&gt;=60,"▼  BELOW EXPECTATION","✕  UNSATISFACTORY"))))</f>
        <v/>
      </c>
      <c r="G35" s="53" t="n"/>
      <c r="H35" s="52" t="n"/>
    </row>
    <row r="36" ht="18" customHeight="1">
      <c r="A36" s="35" t="inlineStr">
        <is>
          <t>▲ Ghi chú Manager: Vượt sản lượng và QA tốt; cải tiến quy trình được ghi nhận.</t>
        </is>
      </c>
      <c r="B36" s="53" t="n"/>
      <c r="C36" s="53" t="n"/>
      <c r="D36" s="53" t="n"/>
      <c r="E36" s="53" t="n"/>
      <c r="F36" s="53" t="n"/>
      <c r="G36" s="53" t="n"/>
      <c r="H36" s="52" t="n"/>
    </row>
    <row r="38" ht="22" customHeight="1">
      <c r="A38" s="43" t="inlineStr">
        <is>
          <t>🟠  LEAD / MANAGER — Outcome &amp; Impact</t>
        </is>
      </c>
    </row>
    <row r="39" ht="18" customHeight="1">
      <c r="A39" s="21" t="inlineStr">
        <is>
          <t>Nhân viên:</t>
        </is>
      </c>
      <c r="B39" s="52" t="n"/>
      <c r="C39" s="44" t="inlineStr">
        <is>
          <t>Họ và tên</t>
        </is>
      </c>
      <c r="D39" s="53" t="n"/>
      <c r="E39" s="52" t="n"/>
      <c r="F39" s="23" t="inlineStr">
        <is>
          <t>Tháng/Kỳ:</t>
        </is>
      </c>
      <c r="G39" s="52" t="n"/>
      <c r="H39" s="24" t="inlineStr">
        <is>
          <t>Tháng __/20__</t>
        </is>
      </c>
    </row>
    <row r="40" ht="28" customHeight="1">
      <c r="A40" s="45" t="inlineStr">
        <is>
          <t>STT</t>
        </is>
      </c>
      <c r="B40" s="46" t="inlineStr">
        <is>
          <t>KPI / Chỉ tiêu</t>
        </is>
      </c>
      <c r="C40" s="45" t="inlineStr">
        <is>
          <t>Trọng số
(%)</t>
        </is>
      </c>
      <c r="D40" s="45" t="inlineStr">
        <is>
          <t>Target
(đặt ra)</t>
        </is>
      </c>
      <c r="E40" s="45" t="inlineStr">
        <is>
          <t>Thực tế
(đạt được)</t>
        </is>
      </c>
      <c r="F40" s="45" t="inlineStr">
        <is>
          <t>Tỷ lệ đạt
(%)</t>
        </is>
      </c>
      <c r="G40" s="45" t="inlineStr">
        <is>
          <t>Điểm KPI</t>
        </is>
      </c>
      <c r="H40" s="46" t="inlineStr">
        <is>
          <t>Ghi chú</t>
        </is>
      </c>
    </row>
    <row r="41" ht="30" customHeight="1">
      <c r="A41" s="17" t="n">
        <v>1</v>
      </c>
      <c r="B41" s="16" t="inlineStr">
        <is>
          <t>Team KPI attainment rate (% đạt target tổng team)</t>
        </is>
      </c>
      <c r="C41" s="47" t="n">
        <v>0.55</v>
      </c>
      <c r="D41" s="17" t="n">
        <v>12</v>
      </c>
      <c r="E41" s="17" t="n">
        <v>15.2</v>
      </c>
      <c r="F41" s="48">
        <f>IF(D41=0,0,MIN(E41/D41*100,120))</f>
        <v/>
      </c>
      <c r="G41" s="48">
        <f>F41*C41</f>
        <v/>
      </c>
      <c r="H41" s="18" t="inlineStr"/>
    </row>
    <row r="42" ht="30" customHeight="1">
      <c r="A42" s="17" t="n">
        <v>2</v>
      </c>
      <c r="B42" s="16" t="inlineStr">
        <is>
          <t>Catalog accuracy — tỷ lệ sản phẩm không lỗi sau QA</t>
        </is>
      </c>
      <c r="C42" s="47" t="n">
        <v>0.3</v>
      </c>
      <c r="D42" s="17" t="n">
        <v>10</v>
      </c>
      <c r="E42" s="17" t="n">
        <v>11.5</v>
      </c>
      <c r="F42" s="48">
        <f>IF(D42=0,0,MIN(E42/D42*100,120))</f>
        <v/>
      </c>
      <c r="G42" s="48">
        <f>F42*C42</f>
        <v/>
      </c>
      <c r="H42" s="18" t="inlineStr"/>
    </row>
    <row r="43" ht="30" customHeight="1">
      <c r="A43" s="17" t="n">
        <v>3</v>
      </c>
      <c r="B43" s="16" t="inlineStr">
        <is>
          <t>Tiến độ upload catalog on-time</t>
        </is>
      </c>
      <c r="C43" s="47" t="n">
        <v>0.15</v>
      </c>
      <c r="D43" s="17" t="n">
        <v>85</v>
      </c>
      <c r="E43" s="17" t="n">
        <v>88</v>
      </c>
      <c r="F43" s="48">
        <f>IF(D43=0,0,MIN(E43/D43*100,120))</f>
        <v/>
      </c>
      <c r="G43" s="48">
        <f>F43*C43</f>
        <v/>
      </c>
      <c r="H43" s="18" t="inlineStr"/>
    </row>
    <row r="44" ht="22" customHeight="1">
      <c r="A44" s="29" t="inlineStr">
        <is>
          <t>TỔNG ĐIỂM KPI</t>
        </is>
      </c>
      <c r="B44" s="54" t="n"/>
      <c r="C44" s="30" t="n">
        <v>1</v>
      </c>
      <c r="D44" s="31" t="n"/>
      <c r="E44" s="31" t="n"/>
      <c r="F44" s="32">
        <f>AVERAGE(F41:F43)</f>
        <v/>
      </c>
      <c r="G44" s="32">
        <f>SUM(G41:G43)</f>
        <v/>
      </c>
      <c r="H44" s="31" t="inlineStr"/>
    </row>
    <row r="45" ht="28" customHeight="1">
      <c r="A45" s="33" t="inlineStr">
        <is>
          <t>Xếp loại:</t>
        </is>
      </c>
      <c r="B45" s="53" t="n"/>
      <c r="C45" s="53" t="n"/>
      <c r="D45" s="53" t="n"/>
      <c r="E45" s="52" t="n"/>
      <c r="F45" s="49">
        <f>IF(G44&gt;=100,"★  OUTSTANDING",IF(G44&gt;=90,"▲  EXCEED EXPECTATION",IF(G44&gt;=75,"●  MEET EXPECTATION",IF(G44&gt;=60,"▼  BELOW EXPECTATION","✕  UNSATISFACTORY"))))</f>
        <v/>
      </c>
      <c r="G45" s="53" t="n"/>
      <c r="H45" s="52" t="n"/>
    </row>
    <row r="46" ht="18" customHeight="1">
      <c r="A46" s="35" t="inlineStr">
        <is>
          <t>★ Ghi chú Manager: Team đạt toàn bộ KPI; catalog accuracy xuất sắc.</t>
        </is>
      </c>
      <c r="B46" s="53" t="n"/>
      <c r="C46" s="53" t="n"/>
      <c r="D46" s="53" t="n"/>
      <c r="E46" s="53" t="n"/>
      <c r="F46" s="53" t="n"/>
      <c r="G46" s="53" t="n"/>
      <c r="H46" s="52" t="n"/>
    </row>
  </sheetData>
  <mergeCells count="31">
    <mergeCell ref="A24:B24"/>
    <mergeCell ref="A12:A14"/>
    <mergeCell ref="F29:G29"/>
    <mergeCell ref="F45:H45"/>
    <mergeCell ref="F19:G19"/>
    <mergeCell ref="F35:H35"/>
    <mergeCell ref="A36:H36"/>
    <mergeCell ref="A45:E45"/>
    <mergeCell ref="A1:H1"/>
    <mergeCell ref="A16:H16"/>
    <mergeCell ref="A25:E25"/>
    <mergeCell ref="C39:E39"/>
    <mergeCell ref="A46:H46"/>
    <mergeCell ref="A9:A11"/>
    <mergeCell ref="A18:H18"/>
    <mergeCell ref="A26:H26"/>
    <mergeCell ref="C19:E19"/>
    <mergeCell ref="A2:H2"/>
    <mergeCell ref="A6:A8"/>
    <mergeCell ref="F25:H25"/>
    <mergeCell ref="A4:H4"/>
    <mergeCell ref="F39:G39"/>
    <mergeCell ref="A35:E35"/>
    <mergeCell ref="A29:B29"/>
    <mergeCell ref="A19:B19"/>
    <mergeCell ref="A38:H38"/>
    <mergeCell ref="A28:H28"/>
    <mergeCell ref="A44:B44"/>
    <mergeCell ref="C29:E29"/>
    <mergeCell ref="A39:B39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.25" customWidth="1" min="1" max="1"/>
    <col width="38.5" customWidth="1" min="2" max="2"/>
    <col width="9.630000000000001" customWidth="1" min="3" max="3"/>
    <col width="19.25" customWidth="1" min="4" max="4"/>
    <col width="15.75" customWidth="1" min="5" max="5"/>
    <col width="14" customWidth="1" min="6" max="6"/>
    <col width="13" customWidth="1" min="7" max="7"/>
    <col width="28" customWidth="1" min="8" max="8"/>
  </cols>
  <sheetData>
    <row r="1" ht="30" customHeight="1">
      <c r="A1" s="1" t="inlineStr">
        <is>
          <t xml:space="preserve">  Content — Content Multimedia</t>
        </is>
      </c>
    </row>
    <row r="2" ht="22" customHeight="1">
      <c r="A2" s="2" t="inlineStr">
        <is>
          <t xml:space="preserve">  Nhóm Sáng tạo nội dung (Multimedia)</t>
        </is>
      </c>
    </row>
    <row r="3" ht="6" customHeight="1"/>
    <row r="4" ht="22" customHeight="1">
      <c r="A4" s="3" t="inlineStr">
        <is>
          <t xml:space="preserve">  PHẦN 1 — KPI FRAMEWORK (Khung Chỉ tiêu Đánh giá)</t>
        </is>
      </c>
    </row>
    <row r="5" ht="36" customHeight="1">
      <c r="A5" s="4" t="inlineStr">
        <is>
          <t>Tầng</t>
        </is>
      </c>
      <c r="B5" s="4" t="inlineStr">
        <is>
          <t>KPI / Chỉ tiêu</t>
        </is>
      </c>
      <c r="C5" s="4" t="inlineStr">
        <is>
          <t>Trọng số</t>
        </is>
      </c>
      <c r="D5" s="4" t="inlineStr">
        <is>
          <t>Ngưỡng Target</t>
        </is>
      </c>
      <c r="E5" s="4" t="inlineStr">
        <is>
          <t>Chu kỳ đo</t>
        </is>
      </c>
      <c r="F5" s="4" t="inlineStr">
        <is>
          <t>Cách đo</t>
        </is>
      </c>
      <c r="G5" s="4" t="inlineStr">
        <is>
          <t>Đơn vị</t>
        </is>
      </c>
      <c r="H5" s="4" t="inlineStr">
        <is>
          <t>Nguồn dữ liệu / Triết lý</t>
        </is>
      </c>
    </row>
    <row r="6" ht="30" customHeight="1">
      <c r="A6" s="5" t="inlineStr">
        <is>
          <t>🔵  STAFF
(Làm đúng &amp; chuẩn)</t>
        </is>
      </c>
      <c r="B6" s="6" t="inlineStr">
        <is>
          <t>Sản lượng nội dung mới đạt được vs target tháng</t>
        </is>
      </c>
      <c r="C6" s="7" t="inlineStr">
        <is>
          <t>50%</t>
        </is>
      </c>
      <c r="D6" s="7" t="inlineStr">
        <is>
          <t>≥80% số điểm target</t>
        </is>
      </c>
      <c r="E6" s="7" t="inlineStr">
        <is>
          <t>Monthly</t>
        </is>
      </c>
      <c r="F6" s="8" t="inlineStr"/>
      <c r="G6" s="8" t="inlineStr"/>
      <c r="H6" s="9" t="inlineStr">
        <is>
          <t>Số nội dung hoàn thành / target tháng × 100%</t>
        </is>
      </c>
    </row>
    <row r="7" ht="30" customHeight="1">
      <c r="A7" s="50" t="n"/>
      <c r="B7" s="6" t="inlineStr">
        <is>
          <t>Tỷ lệ publish nội dung đúng lịch đăng</t>
        </is>
      </c>
      <c r="C7" s="7" t="inlineStr">
        <is>
          <t>30%</t>
        </is>
      </c>
      <c r="D7" s="7" t="inlineStr">
        <is>
          <t>≥90%</t>
        </is>
      </c>
      <c r="E7" s="7" t="inlineStr">
        <is>
          <t>Monthly</t>
        </is>
      </c>
      <c r="F7" s="8" t="inlineStr"/>
      <c r="G7" s="8" t="inlineStr"/>
      <c r="H7" s="9" t="inlineStr">
        <is>
          <t>Số bài đăng đúng lịch / tổng lịch đăng × 100%</t>
        </is>
      </c>
    </row>
    <row r="8" ht="30" customHeight="1">
      <c r="A8" s="51" t="n"/>
      <c r="B8" s="6" t="inlineStr">
        <is>
          <t>Số lỗi thông tin y tế phát sinh (zero = đạt)</t>
        </is>
      </c>
      <c r="C8" s="7" t="inlineStr">
        <is>
          <t>20%</t>
        </is>
      </c>
      <c r="D8" s="7" t="inlineStr">
        <is>
          <t>0 lỗi/tháng</t>
        </is>
      </c>
      <c r="E8" s="7" t="inlineStr">
        <is>
          <t>Monthly</t>
        </is>
      </c>
      <c r="F8" s="8" t="inlineStr"/>
      <c r="G8" s="8" t="inlineStr"/>
      <c r="H8" s="9" t="inlineStr">
        <is>
          <t>Đếm lỗi thông tin y tế bị phát hiện sau publish; nguồn: QC log</t>
        </is>
      </c>
    </row>
    <row r="9" ht="30" customHeight="1">
      <c r="A9" s="10" t="inlineStr">
        <is>
          <t>🟢  SENIOR
(Tối ưu &amp; cải tiến)</t>
        </is>
      </c>
      <c r="B9" s="11" t="inlineStr">
        <is>
          <t>Sản lượng nội dung mới đạt được vs target tháng</t>
        </is>
      </c>
      <c r="C9" s="12" t="inlineStr">
        <is>
          <t>50%</t>
        </is>
      </c>
      <c r="D9" s="12" t="inlineStr">
        <is>
          <t>≥110%</t>
        </is>
      </c>
      <c r="E9" s="12" t="inlineStr">
        <is>
          <t>Monthly</t>
        </is>
      </c>
      <c r="F9" s="13" t="inlineStr"/>
      <c r="G9" s="13" t="inlineStr"/>
      <c r="H9" s="14" t="inlineStr">
        <is>
          <t>Số nội dung hoàn thành / target × 100%; kỳ vọng vượt target</t>
        </is>
      </c>
    </row>
    <row r="10" ht="30" customHeight="1">
      <c r="A10" s="50" t="n"/>
      <c r="B10" s="11" t="inlineStr">
        <is>
          <t>Engagement rate trung bình nội dung phụ trách</t>
        </is>
      </c>
      <c r="C10" s="12" t="inlineStr">
        <is>
          <t>35%</t>
        </is>
      </c>
      <c r="D10" s="12" t="inlineStr">
        <is>
          <t>≥60%</t>
        </is>
      </c>
      <c r="E10" s="12" t="inlineStr">
        <is>
          <t>Monthly</t>
        </is>
      </c>
      <c r="F10" s="13" t="inlineStr"/>
      <c r="G10" s="13" t="inlineStr"/>
      <c r="H10" s="14" t="inlineStr">
        <is>
          <t>Tổng engagement / reach trung bình các nội dung phụ trách</t>
        </is>
      </c>
    </row>
    <row r="11" ht="30" customHeight="1">
      <c r="A11" s="51" t="n"/>
      <c r="B11" s="11" t="inlineStr">
        <is>
          <t>Số format/concept nội dung mới được áp dụng</t>
        </is>
      </c>
      <c r="C11" s="12" t="inlineStr">
        <is>
          <t>15%</t>
        </is>
      </c>
      <c r="D11" s="12" t="inlineStr">
        <is>
          <t>≥1/tháng</t>
        </is>
      </c>
      <c r="E11" s="12" t="inlineStr">
        <is>
          <t>Monthly</t>
        </is>
      </c>
      <c r="F11" s="13" t="inlineStr"/>
      <c r="G11" s="13" t="inlineStr"/>
      <c r="H11" s="14" t="inlineStr">
        <is>
          <t>Đếm format/concept mới được team thông qua và triển khai</t>
        </is>
      </c>
    </row>
    <row r="12" ht="30" customHeight="1">
      <c r="A12" s="15" t="inlineStr">
        <is>
          <t>🟠  LEAD/MGR
(Outcome &amp; Impact)</t>
        </is>
      </c>
      <c r="B12" s="16" t="inlineStr">
        <is>
          <t>Team KPI attainment rate (% đạt target tổng team)</t>
        </is>
      </c>
      <c r="C12" s="17" t="inlineStr">
        <is>
          <t>55%</t>
        </is>
      </c>
      <c r="D12" s="17" t="inlineStr">
        <is>
          <t>≥95%</t>
        </is>
      </c>
      <c r="E12" s="17" t="inlineStr">
        <is>
          <t>Monthly</t>
        </is>
      </c>
      <c r="F12" s="18" t="inlineStr"/>
      <c r="G12" s="18" t="inlineStr"/>
      <c r="H12" s="19" t="inlineStr">
        <is>
          <t>% nhân sự đạt KPI / tổng team × 100%</t>
        </is>
      </c>
    </row>
    <row r="13" ht="30" customHeight="1">
      <c r="A13" s="50" t="n"/>
      <c r="B13" s="16" t="inlineStr">
        <is>
          <t>Tỷ lệ hoàn thành video trung bình toàn team (Avg. Video Completion Rate)</t>
        </is>
      </c>
      <c r="C13" s="17" t="inlineStr">
        <is>
          <t>30%</t>
        </is>
      </c>
      <c r="D13" s="55" t="inlineStr">
        <is>
          <t>≥45%</t>
        </is>
      </c>
      <c r="E13" s="55" t="inlineStr">
        <is>
          <t>Monthly</t>
        </is>
      </c>
      <c r="F13" s="18" t="inlineStr"/>
      <c r="G13" s="18" t="inlineStr"/>
      <c r="H13" s="19" t="inlineStr">
        <is>
          <t>Tổng % completion trung bình tất cả video / số video; nguồn: YouTube Studio / TikTok Analytics / Meta Insights</t>
        </is>
      </c>
    </row>
    <row r="14" ht="30" customHeight="1">
      <c r="A14" s="51" t="n"/>
      <c r="B14" s="16" t="inlineStr">
        <is>
          <t>Số R&amp;D log / sáng kiến multimedia được triển khai</t>
        </is>
      </c>
      <c r="C14" s="17" t="inlineStr">
        <is>
          <t>15%</t>
        </is>
      </c>
      <c r="D14" s="17" t="inlineStr">
        <is>
          <t>≥2/tháng</t>
        </is>
      </c>
      <c r="E14" s="17" t="inlineStr">
        <is>
          <t>Monthly</t>
        </is>
      </c>
      <c r="F14" s="18" t="inlineStr"/>
      <c r="G14" s="18" t="inlineStr"/>
      <c r="H14" s="19" t="inlineStr">
        <is>
          <t>Đếm số sáng kiến/R&amp;D log được phê duyệt và triển khai thực tế</t>
        </is>
      </c>
    </row>
    <row r="15" ht="8" customHeight="1"/>
    <row r="16" ht="22" customHeight="1">
      <c r="A16" s="3" t="inlineStr">
        <is>
          <t xml:space="preserve">  PHẦN 2 — SCORE CARDS MẪU (Ví dụ minh hoạ theo tầng)</t>
        </is>
      </c>
    </row>
    <row r="18" ht="22" customHeight="1">
      <c r="A18" s="20" t="inlineStr">
        <is>
          <t>🔵  STAFF — Làm đúng &amp; chuẩn</t>
        </is>
      </c>
    </row>
    <row r="19" ht="18" customHeight="1">
      <c r="A19" s="21" t="inlineStr">
        <is>
          <t>Nhân viên:</t>
        </is>
      </c>
      <c r="B19" s="52" t="n"/>
      <c r="C19" s="22" t="inlineStr">
        <is>
          <t>Lý Thị Thu</t>
        </is>
      </c>
      <c r="D19" s="53" t="n"/>
      <c r="E19" s="52" t="n"/>
      <c r="F19" s="23" t="inlineStr">
        <is>
          <t>Tháng/Kỳ:</t>
        </is>
      </c>
      <c r="G19" s="52" t="n"/>
      <c r="H19" s="24" t="inlineStr">
        <is>
          <t>Tháng __/20__</t>
        </is>
      </c>
    </row>
    <row r="20" ht="28" customHeight="1">
      <c r="A20" s="25" t="inlineStr">
        <is>
          <t>STT</t>
        </is>
      </c>
      <c r="B20" s="26" t="inlineStr">
        <is>
          <t>KPI / Chỉ tiêu</t>
        </is>
      </c>
      <c r="C20" s="25" t="inlineStr">
        <is>
          <t>Trọng số
(%)</t>
        </is>
      </c>
      <c r="D20" s="25" t="inlineStr">
        <is>
          <t>Target
(đặt ra)</t>
        </is>
      </c>
      <c r="E20" s="25" t="inlineStr">
        <is>
          <t>Thực tế
(đạt được)</t>
        </is>
      </c>
      <c r="F20" s="25" t="inlineStr">
        <is>
          <t>Tỷ lệ đạt
(%)</t>
        </is>
      </c>
      <c r="G20" s="25" t="inlineStr">
        <is>
          <t>Điểm KPI</t>
        </is>
      </c>
      <c r="H20" s="26" t="inlineStr">
        <is>
          <t>Ghi chú</t>
        </is>
      </c>
    </row>
    <row r="21" ht="30" customHeight="1">
      <c r="A21" s="7" t="n">
        <v>1</v>
      </c>
      <c r="B21" s="6" t="inlineStr">
        <is>
          <t>Sản lượng nội dung mới đạt được vs target tháng</t>
        </is>
      </c>
      <c r="C21" s="27" t="n">
        <v>0.5</v>
      </c>
      <c r="D21" s="7" t="n">
        <v>80</v>
      </c>
      <c r="E21" s="7" t="n">
        <v>83</v>
      </c>
      <c r="F21" s="28">
        <f>IF(D21=0,0,MIN(E21/D21*100,120))</f>
        <v/>
      </c>
      <c r="G21" s="28">
        <f>F21*C21</f>
        <v/>
      </c>
      <c r="H21" s="8" t="inlineStr"/>
    </row>
    <row r="22" ht="30" customHeight="1">
      <c r="A22" s="7" t="n">
        <v>2</v>
      </c>
      <c r="B22" s="6" t="inlineStr">
        <is>
          <t>Tỷ lệ publish nội dung đúng lịch đăng</t>
        </is>
      </c>
      <c r="C22" s="27" t="n">
        <v>0.3</v>
      </c>
      <c r="D22" s="7" t="n">
        <v>95</v>
      </c>
      <c r="E22" s="7" t="n">
        <v>94</v>
      </c>
      <c r="F22" s="28">
        <f>IF(D22=0,0,MIN(E22/D22*100,120))</f>
        <v/>
      </c>
      <c r="G22" s="28">
        <f>F22*C22</f>
        <v/>
      </c>
      <c r="H22" s="8" t="inlineStr"/>
    </row>
    <row r="23" ht="30" customHeight="1">
      <c r="A23" s="7" t="n">
        <v>3</v>
      </c>
      <c r="B23" s="6" t="inlineStr">
        <is>
          <t>Số lỗi thông tin y tế phát sinh (zero = đạt)</t>
        </is>
      </c>
      <c r="C23" s="27" t="n">
        <v>0.2</v>
      </c>
      <c r="D23" s="7" t="n">
        <v>20</v>
      </c>
      <c r="E23" s="7" t="n">
        <v>19</v>
      </c>
      <c r="F23" s="28">
        <f>IF(D23=0,0,MIN(E23/D23*100,120))</f>
        <v/>
      </c>
      <c r="G23" s="28">
        <f>F23*C23</f>
        <v/>
      </c>
      <c r="H23" s="8" t="inlineStr"/>
    </row>
    <row r="24" ht="22" customHeight="1">
      <c r="A24" s="29" t="inlineStr">
        <is>
          <t>TỔNG ĐIỂM KPI</t>
        </is>
      </c>
      <c r="B24" s="54" t="n"/>
      <c r="C24" s="30" t="n">
        <v>1</v>
      </c>
      <c r="D24" s="31" t="n"/>
      <c r="E24" s="31" t="n"/>
      <c r="F24" s="32">
        <f>AVERAGE(F21:F23)</f>
        <v/>
      </c>
      <c r="G24" s="32">
        <f>SUM(G21:G23)</f>
        <v/>
      </c>
      <c r="H24" s="31" t="inlineStr"/>
    </row>
    <row r="25" ht="28" customHeight="1">
      <c r="A25" s="33" t="inlineStr">
        <is>
          <t>Xếp loại:</t>
        </is>
      </c>
      <c r="B25" s="53" t="n"/>
      <c r="C25" s="53" t="n"/>
      <c r="D25" s="53" t="n"/>
      <c r="E25" s="52" t="n"/>
      <c r="F25" s="34">
        <f>IF(G24&gt;=100,"★  OUTSTANDING",IF(G24&gt;=90,"▲  EXCEED EXPECTATION",IF(G24&gt;=75,"●  MEET EXPECTATION",IF(G24&gt;=60,"▼  BELOW EXPECTATION","✕  UNSATISFACTORY"))))</f>
        <v/>
      </c>
      <c r="G25" s="53" t="n"/>
      <c r="H25" s="52" t="n"/>
    </row>
    <row r="26" ht="18" customHeight="1">
      <c r="A26" s="35" t="inlineStr">
        <is>
          <t>● Ghi chú Manager: Sản lượng tốt; cần chú trọng tính chính xác y tế trong nội dung.</t>
        </is>
      </c>
      <c r="B26" s="53" t="n"/>
      <c r="C26" s="53" t="n"/>
      <c r="D26" s="53" t="n"/>
      <c r="E26" s="53" t="n"/>
      <c r="F26" s="53" t="n"/>
      <c r="G26" s="53" t="n"/>
      <c r="H26" s="52" t="n"/>
    </row>
    <row r="28" ht="22" customHeight="1">
      <c r="A28" s="36" t="inlineStr">
        <is>
          <t>🟢  SENIOR — Tối ưu &amp; cải tiến</t>
        </is>
      </c>
    </row>
    <row r="29" ht="18" customHeight="1">
      <c r="A29" s="21" t="inlineStr">
        <is>
          <t>Nhân viên:</t>
        </is>
      </c>
      <c r="B29" s="52" t="n"/>
      <c r="C29" s="37" t="inlineStr">
        <is>
          <t>Phan Đức Minh</t>
        </is>
      </c>
      <c r="D29" s="53" t="n"/>
      <c r="E29" s="52" t="n"/>
      <c r="F29" s="23" t="inlineStr">
        <is>
          <t>Tháng/Kỳ:</t>
        </is>
      </c>
      <c r="G29" s="52" t="n"/>
      <c r="H29" s="24" t="inlineStr">
        <is>
          <t>Tháng __/20__</t>
        </is>
      </c>
    </row>
    <row r="30" ht="28" customHeight="1">
      <c r="A30" s="38" t="inlineStr">
        <is>
          <t>STT</t>
        </is>
      </c>
      <c r="B30" s="39" t="inlineStr">
        <is>
          <t>KPI / Chỉ tiêu</t>
        </is>
      </c>
      <c r="C30" s="38" t="inlineStr">
        <is>
          <t>Trọng số
(%)</t>
        </is>
      </c>
      <c r="D30" s="38" t="inlineStr">
        <is>
          <t>Target
(đặt ra)</t>
        </is>
      </c>
      <c r="E30" s="38" t="inlineStr">
        <is>
          <t>Thực tế
(đạt được)</t>
        </is>
      </c>
      <c r="F30" s="38" t="inlineStr">
        <is>
          <t>Tỷ lệ đạt
(%)</t>
        </is>
      </c>
      <c r="G30" s="38" t="inlineStr">
        <is>
          <t>Điểm KPI</t>
        </is>
      </c>
      <c r="H30" s="39" t="inlineStr">
        <is>
          <t>Ghi chú</t>
        </is>
      </c>
    </row>
    <row r="31" ht="30" customHeight="1">
      <c r="A31" s="12" t="n">
        <v>1</v>
      </c>
      <c r="B31" s="11" t="inlineStr">
        <is>
          <t>Sản lượng nội dung mới đạt được vs target tháng</t>
        </is>
      </c>
      <c r="C31" s="40" t="n">
        <v>0.5</v>
      </c>
      <c r="D31" s="12" t="n">
        <v>10</v>
      </c>
      <c r="E31" s="12" t="n">
        <v>13.5</v>
      </c>
      <c r="F31" s="41">
        <f>IF(D31=0,0,MIN(E31/D31*100,120))</f>
        <v/>
      </c>
      <c r="G31" s="41">
        <f>F31*C31</f>
        <v/>
      </c>
      <c r="H31" s="13" t="inlineStr"/>
    </row>
    <row r="32" ht="30" customHeight="1">
      <c r="A32" s="12" t="n">
        <v>2</v>
      </c>
      <c r="B32" s="11" t="inlineStr">
        <is>
          <t>Engagement rate trung bình nội dung phụ trách</t>
        </is>
      </c>
      <c r="C32" s="40" t="n">
        <v>0.35</v>
      </c>
      <c r="D32" s="12" t="n">
        <v>2</v>
      </c>
      <c r="E32" s="12" t="n">
        <v>3</v>
      </c>
      <c r="F32" s="41">
        <f>IF(D32=0,0,MIN(E32/D32*100,120))</f>
        <v/>
      </c>
      <c r="G32" s="41">
        <f>F32*C32</f>
        <v/>
      </c>
      <c r="H32" s="13" t="inlineStr"/>
    </row>
    <row r="33" ht="30" customHeight="1">
      <c r="A33" s="12" t="n">
        <v>3</v>
      </c>
      <c r="B33" s="11" t="inlineStr">
        <is>
          <t>Số format/concept nội dung mới được áp dụng</t>
        </is>
      </c>
      <c r="C33" s="40" t="n">
        <v>0.15</v>
      </c>
      <c r="D33" s="12" t="n">
        <v>80</v>
      </c>
      <c r="E33" s="12" t="n">
        <v>77</v>
      </c>
      <c r="F33" s="41">
        <f>IF(D33=0,0,MIN(E33/D33*100,120))</f>
        <v/>
      </c>
      <c r="G33" s="41">
        <f>F33*C33</f>
        <v/>
      </c>
      <c r="H33" s="13" t="inlineStr"/>
    </row>
    <row r="34" ht="22" customHeight="1">
      <c r="A34" s="29" t="inlineStr">
        <is>
          <t>TỔNG ĐIỂM KPI</t>
        </is>
      </c>
      <c r="B34" s="54" t="n"/>
      <c r="C34" s="30" t="n">
        <v>1</v>
      </c>
      <c r="D34" s="31" t="n"/>
      <c r="E34" s="31" t="n"/>
      <c r="F34" s="32">
        <f>AVERAGE(F31:F33)</f>
        <v/>
      </c>
      <c r="G34" s="32">
        <f>SUM(G31:G33)</f>
        <v/>
      </c>
      <c r="H34" s="31" t="inlineStr"/>
    </row>
    <row r="35" ht="28" customHeight="1">
      <c r="A35" s="33" t="inlineStr">
        <is>
          <t>Xếp loại:</t>
        </is>
      </c>
      <c r="B35" s="53" t="n"/>
      <c r="C35" s="53" t="n"/>
      <c r="D35" s="53" t="n"/>
      <c r="E35" s="52" t="n"/>
      <c r="F35" s="42">
        <f>IF(G34&gt;=100,"★  OUTSTANDING",IF(G34&gt;=90,"▲  EXCEED EXPECTATION",IF(G34&gt;=75,"●  MEET EXPECTATION",IF(G34&gt;=60,"▼  BELOW EXPECTATION","✕  UNSATISFACTORY"))))</f>
        <v/>
      </c>
      <c r="G35" s="53" t="n"/>
      <c r="H35" s="52" t="n"/>
    </row>
    <row r="36" ht="18" customHeight="1">
      <c r="A36" s="35" t="inlineStr">
        <is>
          <t>▲ Ghi chú Manager: Engagement tốt, sản lượng vượt; tiếp tục R&amp;D format mới.</t>
        </is>
      </c>
      <c r="B36" s="53" t="n"/>
      <c r="C36" s="53" t="n"/>
      <c r="D36" s="53" t="n"/>
      <c r="E36" s="53" t="n"/>
      <c r="F36" s="53" t="n"/>
      <c r="G36" s="53" t="n"/>
      <c r="H36" s="52" t="n"/>
    </row>
    <row r="38" ht="22" customHeight="1">
      <c r="A38" s="43" t="inlineStr">
        <is>
          <t>🟠  LEAD / MANAGER — Outcome &amp; Impact</t>
        </is>
      </c>
    </row>
    <row r="39" ht="18" customHeight="1">
      <c r="A39" s="21" t="inlineStr">
        <is>
          <t>Nhân viên:</t>
        </is>
      </c>
      <c r="B39" s="52" t="n"/>
      <c r="C39" s="44" t="inlineStr">
        <is>
          <t>Trương Hải Nam</t>
        </is>
      </c>
      <c r="D39" s="53" t="n"/>
      <c r="E39" s="52" t="n"/>
      <c r="F39" s="23" t="inlineStr">
        <is>
          <t>Tháng/Kỳ:</t>
        </is>
      </c>
      <c r="G39" s="52" t="n"/>
      <c r="H39" s="24" t="inlineStr">
        <is>
          <t>Tháng __/20__</t>
        </is>
      </c>
    </row>
    <row r="40" ht="28" customHeight="1">
      <c r="A40" s="45" t="inlineStr">
        <is>
          <t>STT</t>
        </is>
      </c>
      <c r="B40" s="46" t="inlineStr">
        <is>
          <t>KPI / Chỉ tiêu</t>
        </is>
      </c>
      <c r="C40" s="45" t="inlineStr">
        <is>
          <t>Trọng số
(%)</t>
        </is>
      </c>
      <c r="D40" s="45" t="inlineStr">
        <is>
          <t>Target
(đặt ra)</t>
        </is>
      </c>
      <c r="E40" s="45" t="inlineStr">
        <is>
          <t>Thực tế
(đạt được)</t>
        </is>
      </c>
      <c r="F40" s="45" t="inlineStr">
        <is>
          <t>Tỷ lệ đạt
(%)</t>
        </is>
      </c>
      <c r="G40" s="45" t="inlineStr">
        <is>
          <t>Điểm KPI</t>
        </is>
      </c>
      <c r="H40" s="46" t="inlineStr">
        <is>
          <t>Ghi chú</t>
        </is>
      </c>
    </row>
    <row r="41" ht="30" customHeight="1">
      <c r="A41" s="17" t="n">
        <v>1</v>
      </c>
      <c r="B41" s="16" t="inlineStr">
        <is>
          <t>Team KPI attainment rate (% đạt target tổng team)</t>
        </is>
      </c>
      <c r="C41" s="47" t="n">
        <v>0.55</v>
      </c>
      <c r="D41" s="17" t="n">
        <v>12</v>
      </c>
      <c r="E41" s="17" t="n">
        <v>15.2</v>
      </c>
      <c r="F41" s="48">
        <f>IF(D41=0,0,MIN(E41/D41*100,120))</f>
        <v/>
      </c>
      <c r="G41" s="48">
        <f>F41*C41</f>
        <v/>
      </c>
      <c r="H41" s="18" t="inlineStr"/>
    </row>
    <row r="42" ht="30" customHeight="1">
      <c r="A42" s="17" t="n">
        <v>2</v>
      </c>
      <c r="B42" s="16" t="inlineStr">
        <is>
          <t>Tỷ lệ hoàn thành video trung bình toàn team (Avg. Video Completion Rate)</t>
        </is>
      </c>
      <c r="C42" s="47" t="n">
        <v>0.3</v>
      </c>
      <c r="D42" s="17" t="n">
        <v>45</v>
      </c>
      <c r="E42" s="17" t="n">
        <v>48.5</v>
      </c>
      <c r="F42" s="48">
        <f>IF(D42=0,0,MIN(E42/D42*100,120))</f>
        <v/>
      </c>
      <c r="G42" s="48">
        <f>F42*C42</f>
        <v/>
      </c>
      <c r="H42" s="18" t="inlineStr"/>
    </row>
    <row r="43" ht="30" customHeight="1">
      <c r="A43" s="17" t="n">
        <v>3</v>
      </c>
      <c r="B43" s="16" t="inlineStr">
        <is>
          <t>Số R&amp;D log / sáng kiến multimedia được triển khai</t>
        </is>
      </c>
      <c r="C43" s="47" t="n">
        <v>0.15</v>
      </c>
      <c r="D43" s="17" t="n">
        <v>85</v>
      </c>
      <c r="E43" s="17" t="n">
        <v>88</v>
      </c>
      <c r="F43" s="48">
        <f>IF(D43=0,0,MIN(E43/D43*100,120))</f>
        <v/>
      </c>
      <c r="G43" s="48">
        <f>F43*C43</f>
        <v/>
      </c>
      <c r="H43" s="18" t="inlineStr"/>
    </row>
    <row r="44" ht="22" customHeight="1">
      <c r="A44" s="29" t="inlineStr">
        <is>
          <t>TỔNG ĐIỂM KPI</t>
        </is>
      </c>
      <c r="B44" s="54" t="n"/>
      <c r="C44" s="30" t="n">
        <v>1</v>
      </c>
      <c r="D44" s="31" t="n"/>
      <c r="E44" s="31" t="n"/>
      <c r="F44" s="32">
        <f>AVERAGE(F41:F43)</f>
        <v/>
      </c>
      <c r="G44" s="32">
        <f>SUM(G41:G43)</f>
        <v/>
      </c>
      <c r="H44" s="31" t="inlineStr"/>
    </row>
    <row r="45" ht="28" customHeight="1">
      <c r="A45" s="33" t="inlineStr">
        <is>
          <t>Xếp loại:</t>
        </is>
      </c>
      <c r="B45" s="53" t="n"/>
      <c r="C45" s="53" t="n"/>
      <c r="D45" s="53" t="n"/>
      <c r="E45" s="52" t="n"/>
      <c r="F45" s="49">
        <f>IF(G44&gt;=100,"★  OUTSTANDING",IF(G44&gt;=90,"▲  EXCEED EXPECTATION",IF(G44&gt;=75,"●  MEET EXPECTATION",IF(G44&gt;=60,"▼  BELOW EXPECTATION","✕  UNSATISFACTORY"))))</f>
        <v/>
      </c>
      <c r="G45" s="53" t="n"/>
      <c r="H45" s="52" t="n"/>
    </row>
    <row r="46" ht="18" customHeight="1">
      <c r="A46" s="35" t="inlineStr">
        <is>
          <t>★ Ghi chú Manager: Team đạt toàn bộ KPI; dẫn dắt sáng tạo nội dung xuất sắc.</t>
        </is>
      </c>
      <c r="B46" s="53" t="n"/>
      <c r="C46" s="53" t="n"/>
      <c r="D46" s="53" t="n"/>
      <c r="E46" s="53" t="n"/>
      <c r="F46" s="53" t="n"/>
      <c r="G46" s="53" t="n"/>
      <c r="H46" s="52" t="n"/>
    </row>
  </sheetData>
  <mergeCells count="31">
    <mergeCell ref="A24:B24"/>
    <mergeCell ref="A12:A14"/>
    <mergeCell ref="F29:G29"/>
    <mergeCell ref="F45:H45"/>
    <mergeCell ref="F19:G19"/>
    <mergeCell ref="F35:H35"/>
    <mergeCell ref="A36:H36"/>
    <mergeCell ref="A45:E45"/>
    <mergeCell ref="A1:H1"/>
    <mergeCell ref="A16:H16"/>
    <mergeCell ref="A25:E25"/>
    <mergeCell ref="C39:E39"/>
    <mergeCell ref="A46:H46"/>
    <mergeCell ref="A9:A11"/>
    <mergeCell ref="A18:H18"/>
    <mergeCell ref="A26:H26"/>
    <mergeCell ref="C19:E19"/>
    <mergeCell ref="A2:H2"/>
    <mergeCell ref="A6:A8"/>
    <mergeCell ref="F25:H25"/>
    <mergeCell ref="A4:H4"/>
    <mergeCell ref="F39:G39"/>
    <mergeCell ref="A35:E35"/>
    <mergeCell ref="A29:B29"/>
    <mergeCell ref="A19:B19"/>
    <mergeCell ref="A38:H38"/>
    <mergeCell ref="A28:H28"/>
    <mergeCell ref="A44:B44"/>
    <mergeCell ref="C29:E29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2026-05-31T15:21:47Z</dcterms:created>
  <dcterms:modified xmlns:dcterms="http://purl.org/dc/terms/" xmlns:xsi="http://www.w3.org/2001/XMLSchema-instance" xsi:type="dcterms:W3CDTF">2026-05-31T15:36:30Z</dcterms:modified>
</cp:coreProperties>
</file>